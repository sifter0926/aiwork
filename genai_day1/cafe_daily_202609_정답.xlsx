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안내" sheetId="1" state="visible" r:id="rId3"/>
    <sheet name="데이터" sheetId="2" state="visible" r:id="rId4"/>
    <sheet name="상관분석" sheetId="3" state="visible" r:id="rId5"/>
    <sheet name="회귀분석" sheetId="4" state="visible" r:id="rId6"/>
    <sheet name="차트" sheetId="5" state="visible" r:id="rId7"/>
    <sheet name="보고서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<sst xmlns="http://schemas.openxmlformats.org/spreadsheetml/2006/main" count="142" uniqueCount="110">
  <si>
    <r>
      <rPr>
        <b val="true"/>
        <sz val="16"/>
        <color rgb="FF12304D"/>
        <rFont val="WenQuanYi Zen Hei"/>
        <family val="2"/>
      </rPr>
      <t xml:space="preserve">엑셀 데이터 분석 보고서 </t>
    </r>
    <r>
      <rPr>
        <b val="true"/>
        <sz val="16"/>
        <color rgb="FF12304D"/>
        <rFont val="Arial"/>
        <family val="0"/>
        <charset val="1"/>
      </rPr>
      <t xml:space="preserve">· </t>
    </r>
    <r>
      <rPr>
        <b val="true"/>
        <sz val="16"/>
        <color rgb="FF12304D"/>
        <rFont val="WenQuanYi Zen Hei"/>
        <family val="2"/>
      </rPr>
      <t xml:space="preserve">실습 파일</t>
    </r>
  </si>
  <si>
    <r>
      <rPr>
        <sz val="11"/>
        <color rgb="FF5E6977"/>
        <rFont val="WenQuanYi Zen Hei"/>
        <family val="2"/>
      </rPr>
      <t xml:space="preserve">해운대점 </t>
    </r>
    <r>
      <rPr>
        <sz val="11"/>
        <color rgb="FF5E6977"/>
        <rFont val="Arial"/>
        <family val="0"/>
        <charset val="1"/>
      </rPr>
      <t xml:space="preserve">9</t>
    </r>
    <r>
      <rPr>
        <sz val="11"/>
        <color rgb="FF5E6977"/>
        <rFont val="WenQuanYi Zen Hei"/>
        <family val="2"/>
      </rPr>
      <t xml:space="preserve">월 일별 판매 데이터</t>
    </r>
    <r>
      <rPr>
        <sz val="11"/>
        <color rgb="FF5E6977"/>
        <rFont val="Arial"/>
        <family val="0"/>
        <charset val="1"/>
      </rPr>
      <t xml:space="preserve">(30</t>
    </r>
    <r>
      <rPr>
        <sz val="11"/>
        <color rgb="FF5E6977"/>
        <rFont val="WenQuanYi Zen Hei"/>
        <family val="2"/>
      </rPr>
      <t xml:space="preserve">일</t>
    </r>
    <r>
      <rPr>
        <sz val="11"/>
        <color rgb="FF5E6977"/>
        <rFont val="Arial"/>
        <family val="0"/>
        <charset val="1"/>
      </rPr>
      <t xml:space="preserve">) · </t>
    </r>
    <r>
      <rPr>
        <sz val="11"/>
        <color rgb="FF5E6977"/>
        <rFont val="WenQuanYi Zen Hei"/>
        <family val="2"/>
      </rPr>
      <t xml:space="preserve">강사 시연용 가상 데이터</t>
    </r>
  </si>
  <si>
    <r>
      <rPr>
        <sz val="11"/>
        <rFont val="WenQuanYi Zen Hei"/>
        <family val="2"/>
      </rPr>
      <t xml:space="preserve">① 준비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파일 </t>
    </r>
    <r>
      <rPr>
        <sz val="11"/>
        <rFont val="Arial"/>
        <family val="0"/>
        <charset val="1"/>
      </rPr>
      <t xml:space="preserve">&gt; </t>
    </r>
    <r>
      <rPr>
        <sz val="11"/>
        <rFont val="WenQuanYi Zen Hei"/>
        <family val="2"/>
      </rPr>
      <t xml:space="preserve">옵션 </t>
    </r>
    <r>
      <rPr>
        <sz val="11"/>
        <rFont val="Arial"/>
        <family val="0"/>
        <charset val="1"/>
      </rPr>
      <t xml:space="preserve">&gt; </t>
    </r>
    <r>
      <rPr>
        <sz val="11"/>
        <rFont val="WenQuanYi Zen Hei"/>
        <family val="2"/>
      </rPr>
      <t xml:space="preserve">추가 기능 </t>
    </r>
    <r>
      <rPr>
        <sz val="11"/>
        <rFont val="Arial"/>
        <family val="0"/>
        <charset val="1"/>
      </rPr>
      <t xml:space="preserve">&gt; [</t>
    </r>
    <r>
      <rPr>
        <sz val="11"/>
        <rFont val="WenQuanYi Zen Hei"/>
        <family val="2"/>
      </rPr>
      <t xml:space="preserve">이동</t>
    </r>
    <r>
      <rPr>
        <sz val="11"/>
        <rFont val="Arial"/>
        <family val="0"/>
        <charset val="1"/>
      </rPr>
      <t xml:space="preserve">] &gt; ‘</t>
    </r>
    <r>
      <rPr>
        <sz val="11"/>
        <rFont val="WenQuanYi Zen Hei"/>
        <family val="2"/>
      </rPr>
      <t xml:space="preserve">분석 도구’ 체크 → 데이터 탭에 </t>
    </r>
    <r>
      <rPr>
        <sz val="11"/>
        <rFont val="Arial"/>
        <family val="0"/>
        <charset val="1"/>
      </rPr>
      <t xml:space="preserve">[</t>
    </r>
    <r>
      <rPr>
        <sz val="11"/>
        <rFont val="WenQuanYi Zen Hei"/>
        <family val="2"/>
      </rPr>
      <t xml:space="preserve">데이터 분석</t>
    </r>
    <r>
      <rPr>
        <sz val="11"/>
        <rFont val="Arial"/>
        <family val="0"/>
        <charset val="1"/>
      </rPr>
      <t xml:space="preserve">] </t>
    </r>
    <r>
      <rPr>
        <sz val="11"/>
        <rFont val="WenQuanYi Zen Hei"/>
        <family val="2"/>
      </rPr>
      <t xml:space="preserve">생성</t>
    </r>
  </si>
  <si>
    <r>
      <rPr>
        <sz val="11"/>
        <rFont val="WenQuanYi Zen Hei"/>
        <family val="2"/>
      </rPr>
      <t xml:space="preserve">② 상관분석</t>
    </r>
    <r>
      <rPr>
        <sz val="11"/>
        <rFont val="Arial"/>
        <family val="0"/>
        <charset val="1"/>
      </rPr>
      <t xml:space="preserve">: =CORREL(</t>
    </r>
    <r>
      <rPr>
        <sz val="11"/>
        <rFont val="WenQuanYi Zen Hei"/>
        <family val="2"/>
      </rPr>
      <t xml:space="preserve">데이터</t>
    </r>
    <r>
      <rPr>
        <sz val="11"/>
        <rFont val="Arial"/>
        <family val="0"/>
        <charset val="1"/>
      </rPr>
      <t xml:space="preserve">!D2:D31,</t>
    </r>
    <r>
      <rPr>
        <sz val="11"/>
        <rFont val="WenQuanYi Zen Hei"/>
        <family val="2"/>
      </rPr>
      <t xml:space="preserve">데이터</t>
    </r>
    <r>
      <rPr>
        <sz val="11"/>
        <rFont val="Arial"/>
        <family val="0"/>
        <charset val="1"/>
      </rPr>
      <t xml:space="preserve">!G2:G31) / </t>
    </r>
    <r>
      <rPr>
        <sz val="11"/>
        <rFont val="WenQuanYi Zen Hei"/>
        <family val="2"/>
      </rPr>
      <t xml:space="preserve">데이터 분석 </t>
    </r>
    <r>
      <rPr>
        <sz val="11"/>
        <rFont val="Arial"/>
        <family val="0"/>
        <charset val="1"/>
      </rPr>
      <t xml:space="preserve">&gt; </t>
    </r>
    <r>
      <rPr>
        <sz val="11"/>
        <rFont val="WenQuanYi Zen Hei"/>
        <family val="2"/>
      </rPr>
      <t xml:space="preserve">상관 분석 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입력 범위 </t>
    </r>
    <r>
      <rPr>
        <sz val="11"/>
        <rFont val="Arial"/>
        <family val="0"/>
        <charset val="1"/>
      </rPr>
      <t xml:space="preserve">D1:I31, </t>
    </r>
    <r>
      <rPr>
        <sz val="11"/>
        <rFont val="WenQuanYi Zen Hei"/>
        <family val="2"/>
      </rPr>
      <t xml:space="preserve">첫째 행 이름표</t>
    </r>
    <r>
      <rPr>
        <sz val="11"/>
        <rFont val="Arial"/>
        <family val="0"/>
        <charset val="1"/>
      </rPr>
      <t xml:space="preserve">)</t>
    </r>
  </si>
  <si>
    <r>
      <rPr>
        <sz val="11"/>
        <rFont val="WenQuanYi Zen Hei"/>
        <family val="2"/>
      </rPr>
      <t xml:space="preserve">③ 회귀분석</t>
    </r>
    <r>
      <rPr>
        <sz val="11"/>
        <rFont val="Arial"/>
        <family val="0"/>
        <charset val="1"/>
      </rPr>
      <t xml:space="preserve">: =SLOPE(G2:G31,D2:D31), =INTERCEPT(…), =RSQ(…), =FORECAST(28,G2:G31,D2:D31)</t>
    </r>
  </si>
  <si>
    <r>
      <rPr>
        <sz val="11"/>
        <rFont val="WenQuanYi Zen Hei"/>
        <family val="2"/>
      </rPr>
      <t xml:space="preserve">    데이터 분석 </t>
    </r>
    <r>
      <rPr>
        <sz val="11"/>
        <rFont val="Arial"/>
        <family val="0"/>
        <charset val="1"/>
      </rPr>
      <t xml:space="preserve">&gt; </t>
    </r>
    <r>
      <rPr>
        <sz val="11"/>
        <rFont val="WenQuanYi Zen Hei"/>
        <family val="2"/>
      </rPr>
      <t xml:space="preserve">회귀 분석</t>
    </r>
    <r>
      <rPr>
        <sz val="11"/>
        <rFont val="Arial"/>
        <family val="0"/>
        <charset val="1"/>
      </rPr>
      <t xml:space="preserve">: Y</t>
    </r>
    <r>
      <rPr>
        <sz val="11"/>
        <rFont val="WenQuanYi Zen Hei"/>
        <family val="2"/>
      </rPr>
      <t xml:space="preserve">축 </t>
    </r>
    <r>
      <rPr>
        <sz val="11"/>
        <rFont val="Arial"/>
        <family val="0"/>
        <charset val="1"/>
      </rPr>
      <t xml:space="preserve">G1:G31, X</t>
    </r>
    <r>
      <rPr>
        <sz val="11"/>
        <rFont val="WenQuanYi Zen Hei"/>
        <family val="2"/>
      </rPr>
      <t xml:space="preserve">축 </t>
    </r>
    <r>
      <rPr>
        <sz val="11"/>
        <rFont val="Arial"/>
        <family val="0"/>
        <charset val="1"/>
      </rPr>
      <t xml:space="preserve">D1:D31, </t>
    </r>
    <r>
      <rPr>
        <sz val="11"/>
        <rFont val="WenQuanYi Zen Hei"/>
        <family val="2"/>
      </rPr>
      <t xml:space="preserve">이름표 ✓ </t>
    </r>
    <r>
      <rPr>
        <sz val="11"/>
        <rFont val="Arial"/>
        <family val="0"/>
        <charset val="1"/>
      </rPr>
      <t xml:space="preserve">/ </t>
    </r>
    <r>
      <rPr>
        <sz val="11"/>
        <rFont val="WenQuanYi Zen Hei"/>
        <family val="2"/>
      </rPr>
      <t xml:space="preserve">다중회귀</t>
    </r>
    <r>
      <rPr>
        <sz val="11"/>
        <rFont val="Arial"/>
        <family val="0"/>
        <charset val="1"/>
      </rPr>
      <t xml:space="preserve">: Y</t>
    </r>
    <r>
      <rPr>
        <sz val="11"/>
        <rFont val="WenQuanYi Zen Hei"/>
        <family val="2"/>
      </rPr>
      <t xml:space="preserve">축 </t>
    </r>
    <r>
      <rPr>
        <sz val="11"/>
        <rFont val="Arial"/>
        <family val="0"/>
        <charset val="1"/>
      </rPr>
      <t xml:space="preserve">F1:F31, X</t>
    </r>
    <r>
      <rPr>
        <sz val="11"/>
        <rFont val="WenQuanYi Zen Hei"/>
        <family val="2"/>
      </rPr>
      <t xml:space="preserve">축 </t>
    </r>
    <r>
      <rPr>
        <sz val="11"/>
        <rFont val="Arial"/>
        <family val="0"/>
        <charset val="1"/>
      </rPr>
      <t xml:space="preserve">C1:E31</t>
    </r>
  </si>
  <si>
    <r>
      <rPr>
        <sz val="11"/>
        <rFont val="WenQuanYi Zen Hei"/>
        <family val="2"/>
      </rPr>
      <t xml:space="preserve">④ 시각화</t>
    </r>
    <r>
      <rPr>
        <sz val="11"/>
        <rFont val="Arial"/>
        <family val="0"/>
        <charset val="1"/>
      </rPr>
      <t xml:space="preserve">: D·G</t>
    </r>
    <r>
      <rPr>
        <sz val="11"/>
        <rFont val="WenQuanYi Zen Hei"/>
        <family val="2"/>
      </rPr>
      <t xml:space="preserve">열 선택 </t>
    </r>
    <r>
      <rPr>
        <sz val="11"/>
        <rFont val="Arial"/>
        <family val="0"/>
        <charset val="1"/>
      </rPr>
      <t xml:space="preserve">&gt; </t>
    </r>
    <r>
      <rPr>
        <sz val="11"/>
        <rFont val="WenQuanYi Zen Hei"/>
        <family val="2"/>
      </rPr>
      <t xml:space="preserve">삽입 </t>
    </r>
    <r>
      <rPr>
        <sz val="11"/>
        <rFont val="Arial"/>
        <family val="0"/>
        <charset val="1"/>
      </rPr>
      <t xml:space="preserve">&gt; </t>
    </r>
    <r>
      <rPr>
        <sz val="11"/>
        <rFont val="WenQuanYi Zen Hei"/>
        <family val="2"/>
      </rPr>
      <t xml:space="preserve">분산형 </t>
    </r>
    <r>
      <rPr>
        <sz val="11"/>
        <rFont val="Arial"/>
        <family val="0"/>
        <charset val="1"/>
      </rPr>
      <t xml:space="preserve">&gt; </t>
    </r>
    <r>
      <rPr>
        <sz val="11"/>
        <rFont val="WenQuanYi Zen Hei"/>
        <family val="2"/>
      </rPr>
      <t xml:space="preserve">추세선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선형</t>
    </r>
    <r>
      <rPr>
        <sz val="11"/>
        <rFont val="Arial"/>
        <family val="0"/>
        <charset val="1"/>
      </rPr>
      <t xml:space="preserve">, </t>
    </r>
    <r>
      <rPr>
        <sz val="11"/>
        <rFont val="WenQuanYi Zen Hei"/>
        <family val="2"/>
      </rPr>
      <t xml:space="preserve">수식</t>
    </r>
    <r>
      <rPr>
        <sz val="11"/>
        <rFont val="Arial"/>
        <family val="0"/>
        <charset val="1"/>
      </rPr>
      <t xml:space="preserve">·R² </t>
    </r>
    <r>
      <rPr>
        <sz val="11"/>
        <rFont val="WenQuanYi Zen Hei"/>
        <family val="2"/>
      </rPr>
      <t xml:space="preserve">표시</t>
    </r>
    <r>
      <rPr>
        <sz val="11"/>
        <rFont val="Arial"/>
        <family val="0"/>
        <charset val="1"/>
      </rPr>
      <t xml:space="preserve">) / </t>
    </r>
    <r>
      <rPr>
        <sz val="11"/>
        <rFont val="WenQuanYi Zen Hei"/>
        <family val="2"/>
      </rPr>
      <t xml:space="preserve">콤보 차트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기온은 보조 축</t>
    </r>
    <r>
      <rPr>
        <sz val="11"/>
        <rFont val="Arial"/>
        <family val="0"/>
        <charset val="1"/>
      </rPr>
      <t xml:space="preserve">)</t>
    </r>
  </si>
  <si>
    <r>
      <rPr>
        <sz val="11"/>
        <rFont val="WenQuanYi Zen Hei"/>
        <family val="2"/>
      </rPr>
      <t xml:space="preserve">⑤ 보고서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결과 수치를 넣어 </t>
    </r>
    <r>
      <rPr>
        <sz val="11"/>
        <rFont val="Arial"/>
        <family val="0"/>
        <charset val="1"/>
      </rPr>
      <t xml:space="preserve">AI</t>
    </r>
    <r>
      <rPr>
        <sz val="11"/>
        <rFont val="WenQuanYi Zen Hei"/>
        <family val="2"/>
      </rPr>
      <t xml:space="preserve">에게 초안 요청 → 수치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해석 검증 → </t>
    </r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쪽 보고서 완성</t>
    </r>
  </si>
  <si>
    <t xml:space="preserve">결과를 적을 칸</t>
  </si>
  <si>
    <t xml:space="preserve">날짜</t>
  </si>
  <si>
    <t xml:space="preserve">요일</t>
  </si>
  <si>
    <t xml:space="preserve">주말</t>
  </si>
  <si>
    <r>
      <rPr>
        <b val="true"/>
        <sz val="11"/>
        <color rgb="FFF5F4EF"/>
        <rFont val="WenQuanYi Zen Hei"/>
        <family val="2"/>
      </rPr>
      <t xml:space="preserve">최고기온</t>
    </r>
    <r>
      <rPr>
        <b val="true"/>
        <sz val="11"/>
        <color rgb="FFF5F4EF"/>
        <rFont val="Arial"/>
        <family val="0"/>
        <charset val="1"/>
      </rPr>
      <t xml:space="preserve">(℃)</t>
    </r>
  </si>
  <si>
    <r>
      <rPr>
        <b val="true"/>
        <sz val="11"/>
        <color rgb="FFF5F4EF"/>
        <rFont val="WenQuanYi Zen Hei"/>
        <family val="2"/>
      </rPr>
      <t xml:space="preserve">강수량</t>
    </r>
    <r>
      <rPr>
        <b val="true"/>
        <sz val="11"/>
        <color rgb="FFF5F4EF"/>
        <rFont val="Arial"/>
        <family val="0"/>
        <charset val="1"/>
      </rPr>
      <t xml:space="preserve">(mm)</t>
    </r>
  </si>
  <si>
    <r>
      <rPr>
        <b val="true"/>
        <sz val="11"/>
        <color rgb="FFF5F4EF"/>
        <rFont val="WenQuanYi Zen Hei"/>
        <family val="2"/>
      </rPr>
      <t xml:space="preserve">방문객수</t>
    </r>
    <r>
      <rPr>
        <b val="true"/>
        <sz val="11"/>
        <color rgb="FFF5F4EF"/>
        <rFont val="Arial"/>
        <family val="0"/>
        <charset val="1"/>
      </rPr>
      <t xml:space="preserve">(</t>
    </r>
    <r>
      <rPr>
        <b val="true"/>
        <sz val="11"/>
        <color rgb="FFF5F4EF"/>
        <rFont val="WenQuanYi Zen Hei"/>
        <family val="2"/>
      </rPr>
      <t xml:space="preserve">명</t>
    </r>
    <r>
      <rPr>
        <b val="true"/>
        <sz val="11"/>
        <color rgb="FFF5F4EF"/>
        <rFont val="Arial"/>
        <family val="0"/>
        <charset val="1"/>
      </rPr>
      <t xml:space="preserve">)</t>
    </r>
  </si>
  <si>
    <r>
      <rPr>
        <b val="true"/>
        <sz val="11"/>
        <color rgb="FFF5F4EF"/>
        <rFont val="WenQuanYi Zen Hei"/>
        <family val="2"/>
      </rPr>
      <t xml:space="preserve">아이스음료</t>
    </r>
    <r>
      <rPr>
        <b val="true"/>
        <sz val="11"/>
        <color rgb="FFF5F4EF"/>
        <rFont val="Arial"/>
        <family val="0"/>
        <charset val="1"/>
      </rPr>
      <t xml:space="preserve">(</t>
    </r>
    <r>
      <rPr>
        <b val="true"/>
        <sz val="11"/>
        <color rgb="FFF5F4EF"/>
        <rFont val="WenQuanYi Zen Hei"/>
        <family val="2"/>
      </rPr>
      <t xml:space="preserve">잔</t>
    </r>
    <r>
      <rPr>
        <b val="true"/>
        <sz val="11"/>
        <color rgb="FFF5F4EF"/>
        <rFont val="Arial"/>
        <family val="0"/>
        <charset val="1"/>
      </rPr>
      <t xml:space="preserve">)</t>
    </r>
  </si>
  <si>
    <r>
      <rPr>
        <b val="true"/>
        <sz val="11"/>
        <color rgb="FFF5F4EF"/>
        <rFont val="WenQuanYi Zen Hei"/>
        <family val="2"/>
      </rPr>
      <t xml:space="preserve">따뜻한음료</t>
    </r>
    <r>
      <rPr>
        <b val="true"/>
        <sz val="11"/>
        <color rgb="FFF5F4EF"/>
        <rFont val="Arial"/>
        <family val="0"/>
        <charset val="1"/>
      </rPr>
      <t xml:space="preserve">(</t>
    </r>
    <r>
      <rPr>
        <b val="true"/>
        <sz val="11"/>
        <color rgb="FFF5F4EF"/>
        <rFont val="WenQuanYi Zen Hei"/>
        <family val="2"/>
      </rPr>
      <t xml:space="preserve">잔</t>
    </r>
    <r>
      <rPr>
        <b val="true"/>
        <sz val="11"/>
        <color rgb="FFF5F4EF"/>
        <rFont val="Arial"/>
        <family val="0"/>
        <charset val="1"/>
      </rPr>
      <t xml:space="preserve">)</t>
    </r>
  </si>
  <si>
    <r>
      <rPr>
        <b val="true"/>
        <sz val="11"/>
        <color rgb="FFF5F4EF"/>
        <rFont val="WenQuanYi Zen Hei"/>
        <family val="2"/>
      </rPr>
      <t xml:space="preserve">매출액</t>
    </r>
    <r>
      <rPr>
        <b val="true"/>
        <sz val="11"/>
        <color rgb="FFF5F4EF"/>
        <rFont val="Arial"/>
        <family val="0"/>
        <charset val="1"/>
      </rPr>
      <t xml:space="preserve">(</t>
    </r>
    <r>
      <rPr>
        <b val="true"/>
        <sz val="11"/>
        <color rgb="FFF5F4EF"/>
        <rFont val="WenQuanYi Zen Hei"/>
        <family val="2"/>
      </rPr>
      <t xml:space="preserve">천원</t>
    </r>
    <r>
      <rPr>
        <b val="true"/>
        <sz val="11"/>
        <color rgb="FFF5F4EF"/>
        <rFont val="Arial"/>
        <family val="0"/>
        <charset val="1"/>
      </rPr>
      <t xml:space="preserve">)</t>
    </r>
  </si>
  <si>
    <t xml:space="preserve">2026-09-01</t>
  </si>
  <si>
    <t xml:space="preserve">화</t>
  </si>
  <si>
    <t xml:space="preserve">2026-09-02</t>
  </si>
  <si>
    <t xml:space="preserve">수</t>
  </si>
  <si>
    <t xml:space="preserve">2026-09-03</t>
  </si>
  <si>
    <t xml:space="preserve">목</t>
  </si>
  <si>
    <t xml:space="preserve">2026-09-04</t>
  </si>
  <si>
    <t xml:space="preserve">금</t>
  </si>
  <si>
    <t xml:space="preserve">2026-09-05</t>
  </si>
  <si>
    <t xml:space="preserve">토</t>
  </si>
  <si>
    <t xml:space="preserve">2026-09-06</t>
  </si>
  <si>
    <t xml:space="preserve">일</t>
  </si>
  <si>
    <t xml:space="preserve">2026-09-07</t>
  </si>
  <si>
    <t xml:space="preserve">월</t>
  </si>
  <si>
    <t xml:space="preserve">2026-09-08</t>
  </si>
  <si>
    <t xml:space="preserve">2026-09-09</t>
  </si>
  <si>
    <t xml:space="preserve">2026-09-10</t>
  </si>
  <si>
    <t xml:space="preserve">2026-09-11</t>
  </si>
  <si>
    <t xml:space="preserve">2026-09-12</t>
  </si>
  <si>
    <t xml:space="preserve">2026-09-13</t>
  </si>
  <si>
    <t xml:space="preserve">2026-09-14</t>
  </si>
  <si>
    <t xml:space="preserve">2026-09-15</t>
  </si>
  <si>
    <t xml:space="preserve">2026-09-16</t>
  </si>
  <si>
    <t xml:space="preserve">2026-09-17</t>
  </si>
  <si>
    <t xml:space="preserve">2026-09-18</t>
  </si>
  <si>
    <t xml:space="preserve">2026-09-19</t>
  </si>
  <si>
    <t xml:space="preserve">2026-09-20</t>
  </si>
  <si>
    <t xml:space="preserve">2026-09-21</t>
  </si>
  <si>
    <t xml:space="preserve">2026-09-22</t>
  </si>
  <si>
    <t xml:space="preserve">2026-09-23</t>
  </si>
  <si>
    <t xml:space="preserve">2026-09-24</t>
  </si>
  <si>
    <t xml:space="preserve">2026-09-25</t>
  </si>
  <si>
    <t xml:space="preserve">2026-09-26</t>
  </si>
  <si>
    <t xml:space="preserve">2026-09-27</t>
  </si>
  <si>
    <t xml:space="preserve">2026-09-28</t>
  </si>
  <si>
    <t xml:space="preserve">2026-09-29</t>
  </si>
  <si>
    <t xml:space="preserve">2026-09-30</t>
  </si>
  <si>
    <r>
      <rPr>
        <i val="true"/>
        <sz val="11"/>
        <color rgb="FF5E6977"/>
        <rFont val="WenQuanYi Zen Hei"/>
        <family val="2"/>
      </rPr>
      <t xml:space="preserve">※ 강사 시연용 가상 데이터입니다 </t>
    </r>
    <r>
      <rPr>
        <i val="true"/>
        <sz val="11"/>
        <color rgb="FF5E6977"/>
        <rFont val="Arial"/>
        <family val="0"/>
        <charset val="1"/>
      </rPr>
      <t xml:space="preserve">(</t>
    </r>
    <r>
      <rPr>
        <i val="true"/>
        <sz val="11"/>
        <color rgb="FF5E6977"/>
        <rFont val="WenQuanYi Zen Hei"/>
        <family val="2"/>
      </rPr>
      <t xml:space="preserve">실제 매장 실적 아님</t>
    </r>
    <r>
      <rPr>
        <i val="true"/>
        <sz val="11"/>
        <color rgb="FF5E6977"/>
        <rFont val="Arial"/>
        <family val="0"/>
        <charset val="1"/>
      </rPr>
      <t xml:space="preserve">). </t>
    </r>
    <r>
      <rPr>
        <i val="true"/>
        <sz val="11"/>
        <color rgb="FF5E6977"/>
        <rFont val="WenQuanYi Zen Hei"/>
        <family val="2"/>
      </rPr>
      <t xml:space="preserve">주말</t>
    </r>
    <r>
      <rPr>
        <i val="true"/>
        <sz val="11"/>
        <color rgb="FF5E6977"/>
        <rFont val="Arial"/>
        <family val="0"/>
        <charset val="1"/>
      </rPr>
      <t xml:space="preserve">: </t>
    </r>
    <r>
      <rPr>
        <i val="true"/>
        <sz val="11"/>
        <color rgb="FF5E6977"/>
        <rFont val="WenQuanYi Zen Hei"/>
        <family val="2"/>
      </rPr>
      <t xml:space="preserve">토</t>
    </r>
    <r>
      <rPr>
        <i val="true"/>
        <sz val="11"/>
        <color rgb="FF5E6977"/>
        <rFont val="Arial"/>
        <family val="0"/>
        <charset val="1"/>
      </rPr>
      <t xml:space="preserve">·</t>
    </r>
    <r>
      <rPr>
        <i val="true"/>
        <sz val="11"/>
        <color rgb="FF5E6977"/>
        <rFont val="WenQuanYi Zen Hei"/>
        <family val="2"/>
      </rPr>
      <t xml:space="preserve">일</t>
    </r>
    <r>
      <rPr>
        <i val="true"/>
        <sz val="11"/>
        <color rgb="FF5E6977"/>
        <rFont val="Arial"/>
        <family val="0"/>
        <charset val="1"/>
      </rPr>
      <t xml:space="preserve">=1, </t>
    </r>
    <r>
      <rPr>
        <i val="true"/>
        <sz val="11"/>
        <color rgb="FF5E6977"/>
        <rFont val="WenQuanYi Zen Hei"/>
        <family val="2"/>
      </rPr>
      <t xml:space="preserve">평일</t>
    </r>
    <r>
      <rPr>
        <i val="true"/>
        <sz val="11"/>
        <color rgb="FF5E6977"/>
        <rFont val="Arial"/>
        <family val="0"/>
        <charset val="1"/>
      </rPr>
      <t xml:space="preserve">=0</t>
    </r>
  </si>
  <si>
    <r>
      <rPr>
        <b val="true"/>
        <sz val="13"/>
        <color rgb="FF12304D"/>
        <rFont val="WenQuanYi Zen Hei"/>
        <family val="2"/>
      </rPr>
      <t xml:space="preserve">상관계수 행렬 </t>
    </r>
    <r>
      <rPr>
        <b val="true"/>
        <sz val="13"/>
        <color rgb="FF12304D"/>
        <rFont val="Arial"/>
        <family val="0"/>
        <charset val="1"/>
      </rPr>
      <t xml:space="preserve">(=CORREL) · </t>
    </r>
    <r>
      <rPr>
        <b val="true"/>
        <sz val="13"/>
        <color rgb="FF12304D"/>
        <rFont val="WenQuanYi Zen Hei"/>
        <family val="2"/>
      </rPr>
      <t xml:space="preserve">색조</t>
    </r>
    <r>
      <rPr>
        <b val="true"/>
        <sz val="13"/>
        <color rgb="FF12304D"/>
        <rFont val="Arial"/>
        <family val="0"/>
        <charset val="1"/>
      </rPr>
      <t xml:space="preserve">: </t>
    </r>
    <r>
      <rPr>
        <b val="true"/>
        <sz val="13"/>
        <color rgb="FF12304D"/>
        <rFont val="WenQuanYi Zen Hei"/>
        <family val="2"/>
      </rPr>
      <t xml:space="preserve">파랑</t>
    </r>
    <r>
      <rPr>
        <b val="true"/>
        <sz val="13"/>
        <color rgb="FF12304D"/>
        <rFont val="Arial"/>
        <family val="0"/>
        <charset val="1"/>
      </rPr>
      <t xml:space="preserve">(−1) ↔ </t>
    </r>
    <r>
      <rPr>
        <b val="true"/>
        <sz val="13"/>
        <color rgb="FF12304D"/>
        <rFont val="WenQuanYi Zen Hei"/>
        <family val="2"/>
      </rPr>
      <t xml:space="preserve">흰색</t>
    </r>
    <r>
      <rPr>
        <b val="true"/>
        <sz val="13"/>
        <color rgb="FF12304D"/>
        <rFont val="Arial"/>
        <family val="0"/>
        <charset val="1"/>
      </rPr>
      <t xml:space="preserve">(0) ↔ </t>
    </r>
    <r>
      <rPr>
        <b val="true"/>
        <sz val="13"/>
        <color rgb="FF12304D"/>
        <rFont val="WenQuanYi Zen Hei"/>
        <family val="2"/>
      </rPr>
      <t xml:space="preserve">주황</t>
    </r>
    <r>
      <rPr>
        <b val="true"/>
        <sz val="13"/>
        <color rgb="FF12304D"/>
        <rFont val="Arial"/>
        <family val="0"/>
        <charset val="1"/>
      </rPr>
      <t xml:space="preserve">(+1)</t>
    </r>
  </si>
  <si>
    <t xml:space="preserve">최고기온</t>
  </si>
  <si>
    <t xml:space="preserve">강수량</t>
  </si>
  <si>
    <t xml:space="preserve">방문객수</t>
  </si>
  <si>
    <t xml:space="preserve">아이스음료</t>
  </si>
  <si>
    <t xml:space="preserve">따뜻한음료</t>
  </si>
  <si>
    <t xml:space="preserve">매출액</t>
  </si>
  <si>
    <r>
      <rPr>
        <i val="true"/>
        <sz val="11"/>
        <color rgb="FF5E6977"/>
        <rFont val="WenQuanYi Zen Hei"/>
        <family val="2"/>
      </rPr>
      <t xml:space="preserve">읽는 법</t>
    </r>
    <r>
      <rPr>
        <i val="true"/>
        <sz val="11"/>
        <color rgb="FF5E6977"/>
        <rFont val="Arial"/>
        <family val="0"/>
        <charset val="1"/>
      </rPr>
      <t xml:space="preserve">: |r| ≥ 0.7 </t>
    </r>
    <r>
      <rPr>
        <i val="true"/>
        <sz val="11"/>
        <color rgb="FF5E6977"/>
        <rFont val="WenQuanYi Zen Hei"/>
        <family val="2"/>
      </rPr>
      <t xml:space="preserve">강함 </t>
    </r>
    <r>
      <rPr>
        <i val="true"/>
        <sz val="11"/>
        <color rgb="FF5E6977"/>
        <rFont val="Arial"/>
        <family val="0"/>
        <charset val="1"/>
      </rPr>
      <t xml:space="preserve">· 0.3~0.7 </t>
    </r>
    <r>
      <rPr>
        <i val="true"/>
        <sz val="11"/>
        <color rgb="FF5E6977"/>
        <rFont val="WenQuanYi Zen Hei"/>
        <family val="2"/>
      </rPr>
      <t xml:space="preserve">보통 </t>
    </r>
    <r>
      <rPr>
        <i val="true"/>
        <sz val="11"/>
        <color rgb="FF5E6977"/>
        <rFont val="Arial"/>
        <family val="0"/>
        <charset val="1"/>
      </rPr>
      <t xml:space="preserve">· &lt; 0.3 </t>
    </r>
    <r>
      <rPr>
        <i val="true"/>
        <sz val="11"/>
        <color rgb="FF5E6977"/>
        <rFont val="WenQuanYi Zen Hei"/>
        <family val="2"/>
      </rPr>
      <t xml:space="preserve">거의 없음 </t>
    </r>
    <r>
      <rPr>
        <i val="true"/>
        <sz val="11"/>
        <color rgb="FF5E6977"/>
        <rFont val="Arial"/>
        <family val="0"/>
        <charset val="1"/>
      </rPr>
      <t xml:space="preserve">(</t>
    </r>
    <r>
      <rPr>
        <i val="true"/>
        <sz val="11"/>
        <color rgb="FF5E6977"/>
        <rFont val="WenQuanYi Zen Hei"/>
        <family val="2"/>
      </rPr>
      <t xml:space="preserve">실무용 어림 기준</t>
    </r>
    <r>
      <rPr>
        <i val="true"/>
        <sz val="11"/>
        <color rgb="FF5E6977"/>
        <rFont val="Arial"/>
        <family val="0"/>
        <charset val="1"/>
      </rPr>
      <t xml:space="preserve">)</t>
    </r>
  </si>
  <si>
    <r>
      <rPr>
        <b val="true"/>
        <sz val="13"/>
        <color rgb="FF12304D"/>
        <rFont val="WenQuanYi Zen Hei"/>
        <family val="2"/>
      </rPr>
      <t xml:space="preserve">단순회귀</t>
    </r>
    <r>
      <rPr>
        <b val="true"/>
        <sz val="13"/>
        <color rgb="FF12304D"/>
        <rFont val="Arial"/>
        <family val="0"/>
        <charset val="1"/>
      </rPr>
      <t xml:space="preserve">: </t>
    </r>
    <r>
      <rPr>
        <b val="true"/>
        <sz val="13"/>
        <color rgb="FF12304D"/>
        <rFont val="WenQuanYi Zen Hei"/>
        <family val="2"/>
      </rPr>
      <t xml:space="preserve">아이스음료</t>
    </r>
    <r>
      <rPr>
        <b val="true"/>
        <sz val="13"/>
        <color rgb="FF12304D"/>
        <rFont val="Arial"/>
        <family val="0"/>
        <charset val="1"/>
      </rPr>
      <t xml:space="preserve">(y) ~ </t>
    </r>
    <r>
      <rPr>
        <b val="true"/>
        <sz val="13"/>
        <color rgb="FF12304D"/>
        <rFont val="WenQuanYi Zen Hei"/>
        <family val="2"/>
      </rPr>
      <t xml:space="preserve">최고기온</t>
    </r>
    <r>
      <rPr>
        <b val="true"/>
        <sz val="13"/>
        <color rgb="FF12304D"/>
        <rFont val="Arial"/>
        <family val="0"/>
        <charset val="1"/>
      </rPr>
      <t xml:space="preserve">(x)</t>
    </r>
  </si>
  <si>
    <t xml:space="preserve">항목</t>
  </si>
  <si>
    <t xml:space="preserve">값</t>
  </si>
  <si>
    <r>
      <rPr>
        <b val="true"/>
        <sz val="11"/>
        <color rgb="FFF5F4EF"/>
        <rFont val="WenQuanYi Zen Hei"/>
        <family val="2"/>
      </rPr>
      <t xml:space="preserve">수식 </t>
    </r>
    <r>
      <rPr>
        <b val="true"/>
        <sz val="11"/>
        <color rgb="FFF5F4EF"/>
        <rFont val="Arial"/>
        <family val="0"/>
        <charset val="1"/>
      </rPr>
      <t xml:space="preserve">(y </t>
    </r>
    <r>
      <rPr>
        <b val="true"/>
        <sz val="11"/>
        <color rgb="FFF5F4EF"/>
        <rFont val="WenQuanYi Zen Hei"/>
        <family val="2"/>
      </rPr>
      <t xml:space="preserve">범위</t>
    </r>
    <r>
      <rPr>
        <b val="true"/>
        <sz val="11"/>
        <color rgb="FFF5F4EF"/>
        <rFont val="Arial"/>
        <family val="0"/>
        <charset val="1"/>
      </rPr>
      <t xml:space="preserve">, x </t>
    </r>
    <r>
      <rPr>
        <b val="true"/>
        <sz val="11"/>
        <color rgb="FFF5F4EF"/>
        <rFont val="WenQuanYi Zen Hei"/>
        <family val="2"/>
      </rPr>
      <t xml:space="preserve">범위 순서</t>
    </r>
    <r>
      <rPr>
        <b val="true"/>
        <sz val="11"/>
        <color rgb="FFF5F4EF"/>
        <rFont val="Arial"/>
        <family val="0"/>
        <charset val="1"/>
      </rPr>
      <t xml:space="preserve">)</t>
    </r>
  </si>
  <si>
    <r>
      <rPr>
        <sz val="11"/>
        <rFont val="WenQuanYi Zen Hei"/>
        <family val="2"/>
      </rPr>
      <t xml:space="preserve">상관계수 </t>
    </r>
    <r>
      <rPr>
        <sz val="11"/>
        <rFont val="Arial"/>
        <family val="0"/>
        <charset val="1"/>
      </rPr>
      <t xml:space="preserve">r</t>
    </r>
  </si>
  <si>
    <t xml:space="preserve">=CORREL(D2:D31,G2:G31)</t>
  </si>
  <si>
    <r>
      <rPr>
        <sz val="11"/>
        <rFont val="WenQuanYi Zen Hei"/>
        <family val="2"/>
      </rPr>
      <t xml:space="preserve">기울기 </t>
    </r>
    <r>
      <rPr>
        <sz val="11"/>
        <rFont val="Arial"/>
        <family val="0"/>
        <charset val="1"/>
      </rPr>
      <t xml:space="preserve">b</t>
    </r>
  </si>
  <si>
    <t xml:space="preserve">=SLOPE(G2:G31,D2:D31)</t>
  </si>
  <si>
    <r>
      <rPr>
        <sz val="11"/>
        <rFont val="WenQuanYi Zen Hei"/>
        <family val="2"/>
      </rPr>
      <t xml:space="preserve">절편 </t>
    </r>
    <r>
      <rPr>
        <sz val="11"/>
        <rFont val="Arial"/>
        <family val="0"/>
        <charset val="1"/>
      </rPr>
      <t xml:space="preserve">a</t>
    </r>
  </si>
  <si>
    <t xml:space="preserve">=INTERCEPT(G2:G31,D2:D31)</t>
  </si>
  <si>
    <r>
      <rPr>
        <sz val="11"/>
        <rFont val="WenQuanYi Zen Hei"/>
        <family val="2"/>
      </rPr>
      <t xml:space="preserve">결정계수 </t>
    </r>
    <r>
      <rPr>
        <sz val="11"/>
        <rFont val="Arial"/>
        <family val="0"/>
        <charset val="1"/>
      </rPr>
      <t xml:space="preserve">R²</t>
    </r>
  </si>
  <si>
    <t xml:space="preserve">=RSQ(G2:G31,D2:D31)</t>
  </si>
  <si>
    <t xml:space="preserve">표준 오차</t>
  </si>
  <si>
    <t xml:space="preserve">=STEYX(G2:G31,D2:D31)</t>
  </si>
  <si>
    <r>
      <rPr>
        <sz val="11"/>
        <rFont val="WenQuanYi Zen Hei"/>
        <family val="2"/>
      </rPr>
      <t xml:space="preserve">예측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최고기온 </t>
    </r>
    <r>
      <rPr>
        <sz val="11"/>
        <rFont val="Arial"/>
        <family val="0"/>
        <charset val="1"/>
      </rPr>
      <t xml:space="preserve">B11℃</t>
    </r>
    <r>
      <rPr>
        <sz val="11"/>
        <rFont val="WenQuanYi Zen Hei"/>
        <family val="2"/>
      </rPr>
      <t xml:space="preserve">일 때 아이스음료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잔</t>
    </r>
    <r>
      <rPr>
        <sz val="11"/>
        <rFont val="Arial"/>
        <family val="0"/>
        <charset val="1"/>
      </rPr>
      <t xml:space="preserve">)</t>
    </r>
  </si>
  <si>
    <t xml:space="preserve">=FORECAST(B11,G2:G31,D2:D31)</t>
  </si>
  <si>
    <r>
      <rPr>
        <sz val="11"/>
        <rFont val="WenQuanYi Zen Hei"/>
        <family val="2"/>
      </rPr>
      <t xml:space="preserve">관측한 기온 최솟값</t>
    </r>
    <r>
      <rPr>
        <sz val="11"/>
        <rFont val="Arial"/>
        <family val="0"/>
        <charset val="1"/>
      </rPr>
      <t xml:space="preserve">(℃)</t>
    </r>
  </si>
  <si>
    <t xml:space="preserve">=MIN(D2:D31)</t>
  </si>
  <si>
    <r>
      <rPr>
        <sz val="11"/>
        <rFont val="WenQuanYi Zen Hei"/>
        <family val="2"/>
      </rPr>
      <t xml:space="preserve">관측한 기온 최댓값</t>
    </r>
    <r>
      <rPr>
        <sz val="11"/>
        <rFont val="Arial"/>
        <family val="0"/>
        <charset val="1"/>
      </rPr>
      <t xml:space="preserve">(℃)</t>
    </r>
  </si>
  <si>
    <t xml:space="preserve">=MAX(D2:D31)</t>
  </si>
  <si>
    <r>
      <rPr>
        <b val="true"/>
        <sz val="11"/>
        <rFont val="WenQuanYi Zen Hei"/>
        <family val="2"/>
      </rPr>
      <t xml:space="preserve">예측할 최고기온 입력</t>
    </r>
    <r>
      <rPr>
        <b val="true"/>
        <sz val="11"/>
        <rFont val="Arial"/>
        <family val="0"/>
        <charset val="1"/>
      </rPr>
      <t xml:space="preserve">(℃) ▶</t>
    </r>
  </si>
  <si>
    <r>
      <rPr>
        <i val="true"/>
        <sz val="11"/>
        <color rgb="FF5E6977"/>
        <rFont val="WenQuanYi Zen Hei"/>
        <family val="2"/>
      </rPr>
      <t xml:space="preserve">노란 칸 값을 바꾸면 </t>
    </r>
    <r>
      <rPr>
        <i val="true"/>
        <sz val="11"/>
        <color rgb="FF5E6977"/>
        <rFont val="Arial"/>
        <family val="0"/>
        <charset val="1"/>
      </rPr>
      <t xml:space="preserve">B8 </t>
    </r>
    <r>
      <rPr>
        <i val="true"/>
        <sz val="11"/>
        <color rgb="FF5E6977"/>
        <rFont val="WenQuanYi Zen Hei"/>
        <family val="2"/>
      </rPr>
      <t xml:space="preserve">예측값이 다시 계산됩니다 </t>
    </r>
    <r>
      <rPr>
        <i val="true"/>
        <sz val="11"/>
        <color rgb="FF5E6977"/>
        <rFont val="Arial"/>
        <family val="0"/>
        <charset val="1"/>
      </rPr>
      <t xml:space="preserve">(23.5~31.5℃ </t>
    </r>
    <r>
      <rPr>
        <i val="true"/>
        <sz val="11"/>
        <color rgb="FF5E6977"/>
        <rFont val="WenQuanYi Zen Hei"/>
        <family val="2"/>
      </rPr>
      <t xml:space="preserve">안에서만 의미 있음</t>
    </r>
    <r>
      <rPr>
        <i val="true"/>
        <sz val="11"/>
        <color rgb="FF5E6977"/>
        <rFont val="Arial"/>
        <family val="0"/>
        <charset val="1"/>
      </rPr>
      <t xml:space="preserve">)</t>
    </r>
  </si>
  <si>
    <r>
      <rPr>
        <b val="true"/>
        <sz val="13"/>
        <color rgb="FF12304D"/>
        <rFont val="WenQuanYi Zen Hei"/>
        <family val="2"/>
      </rPr>
      <t xml:space="preserve">다중회귀</t>
    </r>
    <r>
      <rPr>
        <b val="true"/>
        <sz val="13"/>
        <color rgb="FF12304D"/>
        <rFont val="Arial"/>
        <family val="0"/>
        <charset val="1"/>
      </rPr>
      <t xml:space="preserve">: </t>
    </r>
    <r>
      <rPr>
        <b val="true"/>
        <sz val="13"/>
        <color rgb="FF12304D"/>
        <rFont val="WenQuanYi Zen Hei"/>
        <family val="2"/>
      </rPr>
      <t xml:space="preserve">방문객수</t>
    </r>
    <r>
      <rPr>
        <b val="true"/>
        <sz val="13"/>
        <color rgb="FF12304D"/>
        <rFont val="Arial"/>
        <family val="0"/>
        <charset val="1"/>
      </rPr>
      <t xml:space="preserve">(y) ~ </t>
    </r>
    <r>
      <rPr>
        <b val="true"/>
        <sz val="13"/>
        <color rgb="FF12304D"/>
        <rFont val="WenQuanYi Zen Hei"/>
        <family val="2"/>
      </rPr>
      <t xml:space="preserve">주말 </t>
    </r>
    <r>
      <rPr>
        <b val="true"/>
        <sz val="13"/>
        <color rgb="FF12304D"/>
        <rFont val="Arial"/>
        <family val="0"/>
        <charset val="1"/>
      </rPr>
      <t xml:space="preserve">+ </t>
    </r>
    <r>
      <rPr>
        <b val="true"/>
        <sz val="13"/>
        <color rgb="FF12304D"/>
        <rFont val="WenQuanYi Zen Hei"/>
        <family val="2"/>
      </rPr>
      <t xml:space="preserve">최고기온 </t>
    </r>
    <r>
      <rPr>
        <b val="true"/>
        <sz val="13"/>
        <color rgb="FF12304D"/>
        <rFont val="Arial"/>
        <family val="0"/>
        <charset val="1"/>
      </rPr>
      <t xml:space="preserve">+ </t>
    </r>
    <r>
      <rPr>
        <b val="true"/>
        <sz val="13"/>
        <color rgb="FF12304D"/>
        <rFont val="WenQuanYi Zen Hei"/>
        <family val="2"/>
      </rPr>
      <t xml:space="preserve">강수량 </t>
    </r>
    <r>
      <rPr>
        <b val="true"/>
        <sz val="13"/>
        <color rgb="FF12304D"/>
        <rFont val="Arial"/>
        <family val="0"/>
        <charset val="1"/>
      </rPr>
      <t xml:space="preserve">(LINEST)</t>
    </r>
  </si>
  <si>
    <t xml:space="preserve">해석</t>
  </si>
  <si>
    <r>
      <rPr>
        <sz val="11"/>
        <rFont val="WenQuanYi Zen Hei"/>
        <family val="2"/>
      </rPr>
      <t xml:space="preserve">주말 계수 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명</t>
    </r>
    <r>
      <rPr>
        <sz val="11"/>
        <rFont val="Arial"/>
        <family val="0"/>
        <charset val="1"/>
      </rPr>
      <t xml:space="preserve">)</t>
    </r>
  </si>
  <si>
    <r>
      <rPr>
        <sz val="11"/>
        <color rgb="FF5E6977"/>
        <rFont val="WenQuanYi Zen Hei"/>
        <family val="2"/>
      </rPr>
      <t xml:space="preserve">주말이면 평일보다 약 </t>
    </r>
    <r>
      <rPr>
        <sz val="11"/>
        <color rgb="FF5E6977"/>
        <rFont val="Arial"/>
        <family val="0"/>
        <charset val="1"/>
      </rPr>
      <t xml:space="preserve">87</t>
    </r>
    <r>
      <rPr>
        <sz val="11"/>
        <color rgb="FF5E6977"/>
        <rFont val="WenQuanYi Zen Hei"/>
        <family val="2"/>
      </rPr>
      <t xml:space="preserve">명 더 방문</t>
    </r>
  </si>
  <si>
    <r>
      <rPr>
        <sz val="11"/>
        <rFont val="WenQuanYi Zen Hei"/>
        <family val="2"/>
      </rPr>
      <t xml:space="preserve">최고기온 계수 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명</t>
    </r>
    <r>
      <rPr>
        <sz val="11"/>
        <rFont val="Arial"/>
        <family val="0"/>
        <charset val="1"/>
      </rPr>
      <t xml:space="preserve">/℃)</t>
    </r>
  </si>
  <si>
    <r>
      <rPr>
        <sz val="11"/>
        <color rgb="FF5E6977"/>
        <rFont val="Arial"/>
        <family val="0"/>
        <charset val="1"/>
      </rPr>
      <t xml:space="preserve">1℃</t>
    </r>
    <r>
      <rPr>
        <sz val="11"/>
        <color rgb="FF5E6977"/>
        <rFont val="WenQuanYi Zen Hei"/>
        <family val="2"/>
      </rPr>
      <t xml:space="preserve">당 약 </t>
    </r>
    <r>
      <rPr>
        <sz val="11"/>
        <color rgb="FF5E6977"/>
        <rFont val="Arial"/>
        <family val="0"/>
        <charset val="1"/>
      </rPr>
      <t xml:space="preserve">3</t>
    </r>
    <r>
      <rPr>
        <sz val="11"/>
        <color rgb="FF5E6977"/>
        <rFont val="WenQuanYi Zen Hei"/>
        <family val="2"/>
      </rPr>
      <t xml:space="preserve">명 </t>
    </r>
    <r>
      <rPr>
        <sz val="11"/>
        <color rgb="FF5E6977"/>
        <rFont val="Arial"/>
        <family val="0"/>
        <charset val="1"/>
      </rPr>
      <t xml:space="preserve">· </t>
    </r>
    <r>
      <rPr>
        <sz val="11"/>
        <color rgb="FF5E6977"/>
        <rFont val="WenQuanYi Zen Hei"/>
        <family val="2"/>
      </rPr>
      <t xml:space="preserve">영향 작음</t>
    </r>
  </si>
  <si>
    <r>
      <rPr>
        <sz val="11"/>
        <rFont val="WenQuanYi Zen Hei"/>
        <family val="2"/>
      </rPr>
      <t xml:space="preserve">강수량 계수 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명</t>
    </r>
    <r>
      <rPr>
        <sz val="11"/>
        <rFont val="Arial"/>
        <family val="0"/>
        <charset val="1"/>
      </rPr>
      <t xml:space="preserve">/mm)</t>
    </r>
  </si>
  <si>
    <r>
      <rPr>
        <sz val="11"/>
        <color rgb="FF5E6977"/>
        <rFont val="WenQuanYi Zen Hei"/>
        <family val="2"/>
      </rPr>
      <t xml:space="preserve">비 </t>
    </r>
    <r>
      <rPr>
        <sz val="11"/>
        <color rgb="FF5E6977"/>
        <rFont val="Arial"/>
        <family val="0"/>
        <charset val="1"/>
      </rPr>
      <t xml:space="preserve">10mm</t>
    </r>
    <r>
      <rPr>
        <sz val="11"/>
        <color rgb="FF5E6977"/>
        <rFont val="WenQuanYi Zen Hei"/>
        <family val="2"/>
      </rPr>
      <t xml:space="preserve">당 약 </t>
    </r>
    <r>
      <rPr>
        <sz val="11"/>
        <color rgb="FF5E6977"/>
        <rFont val="Arial"/>
        <family val="0"/>
        <charset val="1"/>
      </rPr>
      <t xml:space="preserve">28</t>
    </r>
    <r>
      <rPr>
        <sz val="11"/>
        <color rgb="FF5E6977"/>
        <rFont val="WenQuanYi Zen Hei"/>
        <family val="2"/>
      </rPr>
      <t xml:space="preserve">명 감소</t>
    </r>
  </si>
  <si>
    <r>
      <rPr>
        <sz val="11"/>
        <rFont val="Arial"/>
        <family val="0"/>
        <charset val="1"/>
      </rPr>
      <t xml:space="preserve">Y </t>
    </r>
    <r>
      <rPr>
        <sz val="11"/>
        <rFont val="WenQuanYi Zen Hei"/>
        <family val="2"/>
      </rPr>
      <t xml:space="preserve">절편</t>
    </r>
  </si>
  <si>
    <r>
      <rPr>
        <sz val="11"/>
        <color rgb="FF5E6977"/>
        <rFont val="WenQuanYi Zen Hei"/>
        <family val="2"/>
      </rPr>
      <t xml:space="preserve">방문객 변동의 </t>
    </r>
    <r>
      <rPr>
        <sz val="11"/>
        <color rgb="FF5E6977"/>
        <rFont val="Arial"/>
        <family val="0"/>
        <charset val="1"/>
      </rPr>
      <t xml:space="preserve">93%</t>
    </r>
    <r>
      <rPr>
        <sz val="11"/>
        <color rgb="FF5E6977"/>
        <rFont val="WenQuanYi Zen Hei"/>
        <family val="2"/>
      </rPr>
      <t xml:space="preserve">를 세 변수로 설명</t>
    </r>
  </si>
  <si>
    <r>
      <rPr>
        <sz val="11"/>
        <rFont val="WenQuanYi Zen Hei"/>
        <family val="2"/>
      </rPr>
      <t xml:space="preserve">참고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기온만 넣었을 때 </t>
    </r>
    <r>
      <rPr>
        <sz val="11"/>
        <rFont val="Arial"/>
        <family val="0"/>
        <charset val="1"/>
      </rPr>
      <t xml:space="preserve">R²</t>
    </r>
  </si>
  <si>
    <t xml:space="preserve">기온 하나로는 거의 설명 못 함</t>
  </si>
  <si>
    <t xml:space="preserve">평일 평균 방문객</t>
  </si>
  <si>
    <t xml:space="preserve">=AVERAGEIF(C2:C31,0,F2:F31)</t>
  </si>
  <si>
    <t xml:space="preserve">주말 평균 방문객</t>
  </si>
  <si>
    <t xml:space="preserve">=AVERAGEIF(C2:C31,1,F2:F31)</t>
  </si>
  <si>
    <r>
      <rPr>
        <i val="true"/>
        <sz val="11"/>
        <color rgb="FF5E6977"/>
        <rFont val="Arial"/>
        <family val="0"/>
        <charset val="1"/>
      </rPr>
      <t xml:space="preserve">LINEST </t>
    </r>
    <r>
      <rPr>
        <i val="true"/>
        <sz val="11"/>
        <color rgb="FF5E6977"/>
        <rFont val="WenQuanYi Zen Hei"/>
        <family val="2"/>
      </rPr>
      <t xml:space="preserve">결과는 </t>
    </r>
    <r>
      <rPr>
        <i val="true"/>
        <sz val="11"/>
        <color rgb="FF5E6977"/>
        <rFont val="Arial"/>
        <family val="0"/>
        <charset val="1"/>
      </rPr>
      <t xml:space="preserve">X</t>
    </r>
    <r>
      <rPr>
        <i val="true"/>
        <sz val="11"/>
        <color rgb="FF5E6977"/>
        <rFont val="WenQuanYi Zen Hei"/>
        <family val="2"/>
      </rPr>
      <t xml:space="preserve">열의 역순</t>
    </r>
    <r>
      <rPr>
        <i val="true"/>
        <sz val="11"/>
        <color rgb="FF5E6977"/>
        <rFont val="Arial"/>
        <family val="0"/>
        <charset val="1"/>
      </rPr>
      <t xml:space="preserve">(</t>
    </r>
    <r>
      <rPr>
        <i val="true"/>
        <sz val="11"/>
        <color rgb="FF5E6977"/>
        <rFont val="WenQuanYi Zen Hei"/>
        <family val="2"/>
      </rPr>
      <t xml:space="preserve">강수량</t>
    </r>
    <r>
      <rPr>
        <i val="true"/>
        <sz val="11"/>
        <color rgb="FF5E6977"/>
        <rFont val="Arial"/>
        <family val="0"/>
        <charset val="1"/>
      </rPr>
      <t xml:space="preserve">, </t>
    </r>
    <r>
      <rPr>
        <i val="true"/>
        <sz val="11"/>
        <color rgb="FF5E6977"/>
        <rFont val="WenQuanYi Zen Hei"/>
        <family val="2"/>
      </rPr>
      <t xml:space="preserve">최고기온</t>
    </r>
    <r>
      <rPr>
        <i val="true"/>
        <sz val="11"/>
        <color rgb="FF5E6977"/>
        <rFont val="Arial"/>
        <family val="0"/>
        <charset val="1"/>
      </rPr>
      <t xml:space="preserve">, </t>
    </r>
    <r>
      <rPr>
        <i val="true"/>
        <sz val="11"/>
        <color rgb="FF5E6977"/>
        <rFont val="WenQuanYi Zen Hei"/>
        <family val="2"/>
      </rPr>
      <t xml:space="preserve">주말</t>
    </r>
    <r>
      <rPr>
        <i val="true"/>
        <sz val="11"/>
        <color rgb="FF5E6977"/>
        <rFont val="Arial"/>
        <family val="0"/>
        <charset val="1"/>
      </rPr>
      <t xml:space="preserve">, </t>
    </r>
    <r>
      <rPr>
        <i val="true"/>
        <sz val="11"/>
        <color rgb="FF5E6977"/>
        <rFont val="WenQuanYi Zen Hei"/>
        <family val="2"/>
      </rPr>
      <t xml:space="preserve">절편</t>
    </r>
    <r>
      <rPr>
        <i val="true"/>
        <sz val="11"/>
        <color rgb="FF5E6977"/>
        <rFont val="Arial"/>
        <family val="0"/>
        <charset val="1"/>
      </rPr>
      <t xml:space="preserve">)</t>
    </r>
    <r>
      <rPr>
        <i val="true"/>
        <sz val="11"/>
        <color rgb="FF5E6977"/>
        <rFont val="WenQuanYi Zen Hei"/>
        <family val="2"/>
      </rPr>
      <t xml:space="preserve">으로 나옵니다</t>
    </r>
    <r>
      <rPr>
        <i val="true"/>
        <sz val="11"/>
        <color rgb="FF5E6977"/>
        <rFont val="Arial"/>
        <family val="0"/>
        <charset val="1"/>
      </rPr>
      <t xml:space="preserve">. </t>
    </r>
    <r>
      <rPr>
        <i val="true"/>
        <sz val="11"/>
        <color rgb="FF5E6977"/>
        <rFont val="WenQuanYi Zen Hei"/>
        <family val="2"/>
      </rPr>
      <t xml:space="preserve">자세한 </t>
    </r>
    <r>
      <rPr>
        <i val="true"/>
        <sz val="11"/>
        <color rgb="FF5E6977"/>
        <rFont val="Arial"/>
        <family val="0"/>
        <charset val="1"/>
      </rPr>
      <t xml:space="preserve">P-</t>
    </r>
    <r>
      <rPr>
        <i val="true"/>
        <sz val="11"/>
        <color rgb="FF5E6977"/>
        <rFont val="WenQuanYi Zen Hei"/>
        <family val="2"/>
      </rPr>
      <t xml:space="preserve">값은 데이터 분석 </t>
    </r>
    <r>
      <rPr>
        <i val="true"/>
        <sz val="11"/>
        <color rgb="FF5E6977"/>
        <rFont val="Arial"/>
        <family val="0"/>
        <charset val="1"/>
      </rPr>
      <t xml:space="preserve">&gt; </t>
    </r>
    <r>
      <rPr>
        <i val="true"/>
        <sz val="11"/>
        <color rgb="FF5E6977"/>
        <rFont val="WenQuanYi Zen Hei"/>
        <family val="2"/>
      </rPr>
      <t xml:space="preserve">회귀 분석으로 확인하세요</t>
    </r>
    <r>
      <rPr>
        <i val="true"/>
        <sz val="11"/>
        <color rgb="FF5E6977"/>
        <rFont val="Arial"/>
        <family val="0"/>
        <charset val="1"/>
      </rPr>
      <t xml:space="preserve">.</t>
    </r>
  </si>
  <si>
    <r>
      <rPr>
        <b val="true"/>
        <sz val="13"/>
        <color rgb="FF12304D"/>
        <rFont val="WenQuanYi Zen Hei"/>
        <family val="2"/>
      </rPr>
      <t xml:space="preserve">시각화 예시 </t>
    </r>
    <r>
      <rPr>
        <b val="true"/>
        <sz val="13"/>
        <color rgb="FF12304D"/>
        <rFont val="Arial"/>
        <family val="0"/>
        <charset val="1"/>
      </rPr>
      <t xml:space="preserve">· </t>
    </r>
    <r>
      <rPr>
        <b val="true"/>
        <sz val="13"/>
        <color rgb="FF12304D"/>
        <rFont val="WenQuanYi Zen Hei"/>
        <family val="2"/>
      </rPr>
      <t xml:space="preserve">산점도</t>
    </r>
    <r>
      <rPr>
        <b val="true"/>
        <sz val="13"/>
        <color rgb="FF12304D"/>
        <rFont val="Arial"/>
        <family val="0"/>
        <charset val="1"/>
      </rPr>
      <t xml:space="preserve">+</t>
    </r>
    <r>
      <rPr>
        <b val="true"/>
        <sz val="13"/>
        <color rgb="FF12304D"/>
        <rFont val="WenQuanYi Zen Hei"/>
        <family val="2"/>
      </rPr>
      <t xml:space="preserve">추세선 </t>
    </r>
    <r>
      <rPr>
        <b val="true"/>
        <sz val="13"/>
        <color rgb="FF12304D"/>
        <rFont val="Arial"/>
        <family val="0"/>
        <charset val="1"/>
      </rPr>
      <t xml:space="preserve">/ </t>
    </r>
    <r>
      <rPr>
        <b val="true"/>
        <sz val="13"/>
        <color rgb="FF12304D"/>
        <rFont val="WenQuanYi Zen Hei"/>
        <family val="2"/>
      </rPr>
      <t xml:space="preserve">콤보 차트</t>
    </r>
  </si>
  <si>
    <r>
      <rPr>
        <b val="true"/>
        <sz val="14"/>
        <color rgb="FF12304D"/>
        <rFont val="WenQuanYi Zen Hei"/>
        <family val="2"/>
      </rPr>
      <t xml:space="preserve">해운대점 </t>
    </r>
    <r>
      <rPr>
        <b val="true"/>
        <sz val="14"/>
        <color rgb="FF12304D"/>
        <rFont val="Arial"/>
        <family val="0"/>
        <charset val="1"/>
      </rPr>
      <t xml:space="preserve">9</t>
    </r>
    <r>
      <rPr>
        <b val="true"/>
        <sz val="14"/>
        <color rgb="FF12304D"/>
        <rFont val="WenQuanYi Zen Hei"/>
        <family val="2"/>
      </rPr>
      <t xml:space="preserve">월 판매 데이터 분석 보고 </t>
    </r>
    <r>
      <rPr>
        <b val="true"/>
        <sz val="14"/>
        <color rgb="FF12304D"/>
        <rFont val="Arial"/>
        <family val="0"/>
        <charset val="1"/>
      </rPr>
      <t xml:space="preserve">(</t>
    </r>
    <r>
      <rPr>
        <b val="true"/>
        <sz val="14"/>
        <color rgb="FF12304D"/>
        <rFont val="WenQuanYi Zen Hei"/>
        <family val="2"/>
      </rPr>
      <t xml:space="preserve">운영지원팀</t>
    </r>
    <r>
      <rPr>
        <b val="true"/>
        <sz val="14"/>
        <color rgb="FF12304D"/>
        <rFont val="Arial"/>
        <family val="0"/>
        <charset val="1"/>
      </rPr>
      <t xml:space="preserve">)</t>
    </r>
  </si>
  <si>
    <r>
      <rPr>
        <b val="true"/>
        <sz val="11"/>
        <rFont val="Arial"/>
        <family val="0"/>
        <charset val="1"/>
      </rPr>
      <t xml:space="preserve">[</t>
    </r>
    <r>
      <rPr>
        <b val="true"/>
        <sz val="11"/>
        <rFont val="WenQuanYi Zen Hei"/>
        <family val="2"/>
      </rPr>
      <t xml:space="preserve">요약</t>
    </r>
    <r>
      <rPr>
        <b val="true"/>
        <sz val="11"/>
        <rFont val="Arial"/>
        <family val="0"/>
        <charset val="1"/>
      </rPr>
      <t xml:space="preserve">]</t>
    </r>
  </si>
  <si>
    <r>
      <rPr>
        <b val="true"/>
        <sz val="11"/>
        <rFont val="Arial"/>
        <family val="0"/>
        <charset val="1"/>
      </rPr>
      <t xml:space="preserve">[</t>
    </r>
    <r>
      <rPr>
        <b val="true"/>
        <sz val="11"/>
        <rFont val="WenQuanYi Zen Hei"/>
        <family val="2"/>
      </rPr>
      <t xml:space="preserve">핵심 지표</t>
    </r>
    <r>
      <rPr>
        <b val="true"/>
        <sz val="11"/>
        <rFont val="Arial"/>
        <family val="0"/>
        <charset val="1"/>
      </rPr>
      <t xml:space="preserve">]</t>
    </r>
  </si>
  <si>
    <r>
      <rPr>
        <b val="true"/>
        <sz val="11"/>
        <rFont val="Arial"/>
        <family val="0"/>
        <charset val="1"/>
      </rPr>
      <t xml:space="preserve">[</t>
    </r>
    <r>
      <rPr>
        <b val="true"/>
        <sz val="11"/>
        <rFont val="WenQuanYi Zen Hei"/>
        <family val="2"/>
      </rPr>
      <t xml:space="preserve">시사점</t>
    </r>
    <r>
      <rPr>
        <b val="true"/>
        <sz val="11"/>
        <rFont val="Arial"/>
        <family val="0"/>
        <charset val="1"/>
      </rPr>
      <t xml:space="preserve">]</t>
    </r>
  </si>
  <si>
    <r>
      <rPr>
        <sz val="11"/>
        <rFont val="WenQuanYi Zen Hei"/>
        <family val="2"/>
      </rPr>
      <t xml:space="preserve">③ 비 예보일은 방문객 감소에 대비해 포장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배달 프로모션 검토</t>
    </r>
  </si>
  <si>
    <r>
      <rPr>
        <b val="true"/>
        <sz val="11"/>
        <rFont val="Arial"/>
        <family val="0"/>
        <charset val="1"/>
      </rPr>
      <t xml:space="preserve">[</t>
    </r>
    <r>
      <rPr>
        <b val="true"/>
        <sz val="11"/>
        <rFont val="WenQuanYi Zen Hei"/>
        <family val="2"/>
      </rPr>
      <t xml:space="preserve">한계</t>
    </r>
    <r>
      <rPr>
        <b val="true"/>
        <sz val="11"/>
        <rFont val="Arial"/>
        <family val="0"/>
        <charset val="1"/>
      </rPr>
      <t xml:space="preserve">]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</si>
</sst>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#,##0"/>
    <numFmt numFmtId="167" formatCode="0.00"/>
    <numFmt numFmtId="168" formatCode="0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2304D"/>
      <name val="WenQuanYi Zen Hei"/>
      <family val="2"/>
    </font>
    <font>
      <b val="true"/>
      <sz val="16"/>
      <color rgb="FF12304D"/>
      <name val="Arial"/>
      <family val="0"/>
      <charset val="1"/>
    </font>
    <font>
      <sz val="11"/>
      <color rgb="FF5E6977"/>
      <name val="WenQuanYi Zen Hei"/>
      <family val="2"/>
    </font>
    <font>
      <sz val="11"/>
      <color rgb="FF5E6977"/>
      <name val="Arial"/>
      <family val="0"/>
      <charset val="1"/>
    </font>
    <font>
      <sz val="11"/>
      <name val="WenQuanYi Zen Hei"/>
      <family val="2"/>
    </font>
    <font>
      <sz val="11"/>
      <name val="Arial"/>
      <family val="0"/>
      <charset val="1"/>
    </font>
    <font>
      <b val="true"/>
      <sz val="11"/>
      <color rgb="FF12304D"/>
      <name val="WenQuanYi Zen Hei"/>
      <family val="2"/>
    </font>
    <font>
      <b val="true"/>
      <sz val="11"/>
      <color rgb="FFF5F4EF"/>
      <name val="WenQuanYi Zen Hei"/>
      <family val="2"/>
    </font>
    <font>
      <b val="true"/>
      <sz val="11"/>
      <color rgb="FFF5F4EF"/>
      <name val="Arial"/>
      <family val="0"/>
      <charset val="1"/>
    </font>
    <font>
      <i val="true"/>
      <sz val="11"/>
      <color rgb="FF5E6977"/>
      <name val="WenQuanYi Zen Hei"/>
      <family val="2"/>
    </font>
    <font>
      <i val="true"/>
      <sz val="11"/>
      <color rgb="FF5E6977"/>
      <name val="Arial"/>
      <family val="0"/>
      <charset val="1"/>
    </font>
    <font>
      <b val="true"/>
      <sz val="13"/>
      <color rgb="FF12304D"/>
      <name val="WenQuanYi Zen Hei"/>
      <family val="2"/>
    </font>
    <font>
      <b val="true"/>
      <sz val="13"/>
      <color rgb="FF12304D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name val="WenQuanYi Zen Hei"/>
      <family val="2"/>
    </font>
    <font>
      <b val="true"/>
      <sz val="11"/>
      <color rgb="FF0000FF"/>
      <name val="Arial"/>
      <family val="0"/>
      <charset val="1"/>
    </font>
    <font>
      <b val="true"/>
      <sz val="18"/>
      <color rgb="FF000000"/>
      <name val="WenQuanYi Zen Hei"/>
      <family val="2"/>
    </font>
    <font>
      <sz val="10"/>
      <color rgb="FF000000"/>
      <name val="Calibri"/>
      <family val="2"/>
    </font>
    <font>
      <b val="true"/>
      <sz val="10"/>
      <color rgb="FF000000"/>
      <name val="WenQuanYi Zen Hei"/>
      <family val="2"/>
    </font>
    <font>
      <b val="true"/>
      <sz val="10"/>
      <color rgb="FF000000"/>
      <name val="Calibri"/>
      <family val="2"/>
    </font>
    <font>
      <b val="true"/>
      <sz val="18"/>
      <color rgb="FF000000"/>
      <name val="Calibri"/>
      <family val="2"/>
    </font>
    <font>
      <b val="true"/>
      <sz val="14"/>
      <color rgb="FF12304D"/>
      <name val="WenQuanYi Zen Hei"/>
      <family val="2"/>
    </font>
    <font>
      <b val="true"/>
      <sz val="14"/>
      <color rgb="FF12304D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2304D"/>
        <bgColor rgb="FF333333"/>
      </patternFill>
    </fill>
    <fill>
      <patternFill patternType="solid">
        <fgColor rgb="FFECEEEA"/>
        <bgColor rgb="FFF5F4E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9C7"/>
      </left>
      <right style="thin">
        <color rgb="FFC9C9C7"/>
      </right>
      <top style="thin">
        <color rgb="FFC9C9C7"/>
      </top>
      <bottom style="thin">
        <color rgb="FFC9C9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5F4E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78"/>
      <rgbColor rgb="FFC9C9C7"/>
      <rgbColor rgb="FF878787"/>
      <rgbColor rgb="FF9999FF"/>
      <rgbColor rgb="FFBE4B48"/>
      <rgbColor rgb="FFECEEEA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E6977"/>
      <rgbColor rgb="FF969696"/>
      <rgbColor rgb="FF12304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최고기온과 아이스음료 판매량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데이터!G1</c:f>
              <c:strCache>
                <c:ptCount val="1"/>
                <c:pt idx="0">
                  <c:v>아이스음료(잔)</c:v>
                </c:pt>
              </c:strCache>
            </c:strRef>
          </c:tx>
          <c:spPr>
            <a:solidFill>
              <a:srgbClr val="1f6f78"/>
            </a:solidFill>
            <a:ln w="47520">
              <a:noFill/>
            </a:ln>
          </c:spPr>
          <c:marker>
            <c:symbol val="circle"/>
            <c:size val="7"/>
            <c:spPr>
              <a:solidFill>
                <a:srgbClr val="1f6f7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데이터!$D$2:$D$31</c:f>
              <c:numCache>
                <c:formatCode>0.0</c:formatCode>
                <c:ptCount val="30"/>
                <c:pt idx="0">
                  <c:v>31.5</c:v>
                </c:pt>
                <c:pt idx="1">
                  <c:v>31.4</c:v>
                </c:pt>
                <c:pt idx="2">
                  <c:v>31.2</c:v>
                </c:pt>
                <c:pt idx="3">
                  <c:v>28.2</c:v>
                </c:pt>
                <c:pt idx="4">
                  <c:v>30.8</c:v>
                </c:pt>
                <c:pt idx="5">
                  <c:v>28.3</c:v>
                </c:pt>
                <c:pt idx="6">
                  <c:v>30.1</c:v>
                </c:pt>
                <c:pt idx="7">
                  <c:v>28.2</c:v>
                </c:pt>
                <c:pt idx="8">
                  <c:v>28.8</c:v>
                </c:pt>
                <c:pt idx="9">
                  <c:v>29.3</c:v>
                </c:pt>
                <c:pt idx="10">
                  <c:v>29.6</c:v>
                </c:pt>
                <c:pt idx="11">
                  <c:v>30.3</c:v>
                </c:pt>
                <c:pt idx="12">
                  <c:v>28.2</c:v>
                </c:pt>
                <c:pt idx="13">
                  <c:v>28.3</c:v>
                </c:pt>
                <c:pt idx="14">
                  <c:v>26.9</c:v>
                </c:pt>
                <c:pt idx="15">
                  <c:v>29.1</c:v>
                </c:pt>
                <c:pt idx="16">
                  <c:v>28.5</c:v>
                </c:pt>
                <c:pt idx="17">
                  <c:v>30.9</c:v>
                </c:pt>
                <c:pt idx="18">
                  <c:v>27.3</c:v>
                </c:pt>
                <c:pt idx="19">
                  <c:v>25.8</c:v>
                </c:pt>
                <c:pt idx="20">
                  <c:v>26.9</c:v>
                </c:pt>
                <c:pt idx="21">
                  <c:v>24.4</c:v>
                </c:pt>
                <c:pt idx="22">
                  <c:v>28.4</c:v>
                </c:pt>
                <c:pt idx="23">
                  <c:v>28</c:v>
                </c:pt>
                <c:pt idx="24">
                  <c:v>28</c:v>
                </c:pt>
                <c:pt idx="25">
                  <c:v>25.2</c:v>
                </c:pt>
                <c:pt idx="26">
                  <c:v>24.7</c:v>
                </c:pt>
                <c:pt idx="27">
                  <c:v>23.5</c:v>
                </c:pt>
                <c:pt idx="28">
                  <c:v>25.4</c:v>
                </c:pt>
                <c:pt idx="29">
                  <c:v>27</c:v>
                </c:pt>
              </c:numCache>
            </c:numRef>
          </c:xVal>
          <c:yVal>
            <c:numRef>
              <c:f>데이터!$G$2:$G$31</c:f>
              <c:numCache>
                <c:formatCode>General</c:formatCode>
                <c:ptCount val="30"/>
                <c:pt idx="0">
                  <c:v>255</c:v>
                </c:pt>
                <c:pt idx="1">
                  <c:v>256</c:v>
                </c:pt>
                <c:pt idx="2">
                  <c:v>269</c:v>
                </c:pt>
                <c:pt idx="3">
                  <c:v>206</c:v>
                </c:pt>
                <c:pt idx="4">
                  <c:v>266</c:v>
                </c:pt>
                <c:pt idx="5">
                  <c:v>196</c:v>
                </c:pt>
                <c:pt idx="6">
                  <c:v>241</c:v>
                </c:pt>
                <c:pt idx="7">
                  <c:v>206</c:v>
                </c:pt>
                <c:pt idx="8">
                  <c:v>216</c:v>
                </c:pt>
                <c:pt idx="9">
                  <c:v>241</c:v>
                </c:pt>
                <c:pt idx="10">
                  <c:v>225</c:v>
                </c:pt>
                <c:pt idx="11">
                  <c:v>261</c:v>
                </c:pt>
                <c:pt idx="12">
                  <c:v>255</c:v>
                </c:pt>
                <c:pt idx="13">
                  <c:v>193</c:v>
                </c:pt>
                <c:pt idx="14">
                  <c:v>209</c:v>
                </c:pt>
                <c:pt idx="15">
                  <c:v>235</c:v>
                </c:pt>
                <c:pt idx="16">
                  <c:v>175</c:v>
                </c:pt>
                <c:pt idx="17">
                  <c:v>257</c:v>
                </c:pt>
                <c:pt idx="18">
                  <c:v>222</c:v>
                </c:pt>
                <c:pt idx="19">
                  <c:v>184</c:v>
                </c:pt>
                <c:pt idx="20">
                  <c:v>197</c:v>
                </c:pt>
                <c:pt idx="21">
                  <c:v>166</c:v>
                </c:pt>
                <c:pt idx="22">
                  <c:v>217</c:v>
                </c:pt>
                <c:pt idx="23">
                  <c:v>205</c:v>
                </c:pt>
                <c:pt idx="24">
                  <c:v>219</c:v>
                </c:pt>
                <c:pt idx="25">
                  <c:v>202</c:v>
                </c:pt>
                <c:pt idx="26">
                  <c:v>161</c:v>
                </c:pt>
                <c:pt idx="27">
                  <c:v>126</c:v>
                </c:pt>
                <c:pt idx="28">
                  <c:v>144</c:v>
                </c:pt>
                <c:pt idx="29">
                  <c:v>200</c:v>
                </c:pt>
              </c:numCache>
            </c:numRef>
          </c:yVal>
          <c:smooth val="1"/>
        </c:ser>
        <c:axId val="55179511"/>
        <c:axId val="10158175"/>
      </c:scatterChart>
      <c:valAx>
        <c:axId val="55179511"/>
        <c:scaling>
          <c:orientation val="minMax"/>
          <c:max val="33"/>
          <c:min val="22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최고기온(℃)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158175"/>
        <c:crosses val="autoZero"/>
        <c:crossBetween val="midCat"/>
      </c:valAx>
      <c:valAx>
        <c:axId val="10158175"/>
        <c:scaling>
          <c:orientation val="minMax"/>
          <c:max val="300"/>
          <c:min val="10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아이스음료(잔)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179511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9월 일별 아이스음료 판매량과 최고기온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데이터!G1</c:f>
              <c:strCache>
                <c:ptCount val="1"/>
                <c:pt idx="0">
                  <c:v>아이스음료(잔)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데이터!$A$2:$A$31</c:f>
              <c:strCache>
                <c:ptCount val="30"/>
                <c:pt idx="0">
                  <c:v>2026-09-01</c:v>
                </c:pt>
                <c:pt idx="1">
                  <c:v>2026-09-02</c:v>
                </c:pt>
                <c:pt idx="2">
                  <c:v>2026-09-03</c:v>
                </c:pt>
                <c:pt idx="3">
                  <c:v>2026-09-04</c:v>
                </c:pt>
                <c:pt idx="4">
                  <c:v>2026-09-05</c:v>
                </c:pt>
                <c:pt idx="5">
                  <c:v>2026-09-06</c:v>
                </c:pt>
                <c:pt idx="6">
                  <c:v>2026-09-07</c:v>
                </c:pt>
                <c:pt idx="7">
                  <c:v>2026-09-08</c:v>
                </c:pt>
                <c:pt idx="8">
                  <c:v>2026-09-09</c:v>
                </c:pt>
                <c:pt idx="9">
                  <c:v>2026-09-10</c:v>
                </c:pt>
                <c:pt idx="10">
                  <c:v>2026-09-11</c:v>
                </c:pt>
                <c:pt idx="11">
                  <c:v>2026-09-12</c:v>
                </c:pt>
                <c:pt idx="12">
                  <c:v>2026-09-13</c:v>
                </c:pt>
                <c:pt idx="13">
                  <c:v>2026-09-14</c:v>
                </c:pt>
                <c:pt idx="14">
                  <c:v>2026-09-15</c:v>
                </c:pt>
                <c:pt idx="15">
                  <c:v>2026-09-16</c:v>
                </c:pt>
                <c:pt idx="16">
                  <c:v>2026-09-17</c:v>
                </c:pt>
                <c:pt idx="17">
                  <c:v>2026-09-18</c:v>
                </c:pt>
                <c:pt idx="18">
                  <c:v>2026-09-19</c:v>
                </c:pt>
                <c:pt idx="19">
                  <c:v>2026-09-20</c:v>
                </c:pt>
                <c:pt idx="20">
                  <c:v>2026-09-21</c:v>
                </c:pt>
                <c:pt idx="21">
                  <c:v>2026-09-22</c:v>
                </c:pt>
                <c:pt idx="22">
                  <c:v>2026-09-23</c:v>
                </c:pt>
                <c:pt idx="23">
                  <c:v>2026-09-24</c:v>
                </c:pt>
                <c:pt idx="24">
                  <c:v>2026-09-25</c:v>
                </c:pt>
                <c:pt idx="25">
                  <c:v>2026-09-26</c:v>
                </c:pt>
                <c:pt idx="26">
                  <c:v>2026-09-27</c:v>
                </c:pt>
                <c:pt idx="27">
                  <c:v>2026-09-28</c:v>
                </c:pt>
                <c:pt idx="28">
                  <c:v>2026-09-29</c:v>
                </c:pt>
                <c:pt idx="29">
                  <c:v>2026-09-30</c:v>
                </c:pt>
              </c:strCache>
            </c:strRef>
          </c:cat>
          <c:val>
            <c:numRef>
              <c:f>데이터!$G$2:$G$31</c:f>
              <c:numCache>
                <c:formatCode>General</c:formatCode>
                <c:ptCount val="30"/>
                <c:pt idx="0">
                  <c:v>255</c:v>
                </c:pt>
                <c:pt idx="1">
                  <c:v>256</c:v>
                </c:pt>
                <c:pt idx="2">
                  <c:v>269</c:v>
                </c:pt>
                <c:pt idx="3">
                  <c:v>206</c:v>
                </c:pt>
                <c:pt idx="4">
                  <c:v>266</c:v>
                </c:pt>
                <c:pt idx="5">
                  <c:v>196</c:v>
                </c:pt>
                <c:pt idx="6">
                  <c:v>241</c:v>
                </c:pt>
                <c:pt idx="7">
                  <c:v>206</c:v>
                </c:pt>
                <c:pt idx="8">
                  <c:v>216</c:v>
                </c:pt>
                <c:pt idx="9">
                  <c:v>241</c:v>
                </c:pt>
                <c:pt idx="10">
                  <c:v>225</c:v>
                </c:pt>
                <c:pt idx="11">
                  <c:v>261</c:v>
                </c:pt>
                <c:pt idx="12">
                  <c:v>255</c:v>
                </c:pt>
                <c:pt idx="13">
                  <c:v>193</c:v>
                </c:pt>
                <c:pt idx="14">
                  <c:v>209</c:v>
                </c:pt>
                <c:pt idx="15">
                  <c:v>235</c:v>
                </c:pt>
                <c:pt idx="16">
                  <c:v>175</c:v>
                </c:pt>
                <c:pt idx="17">
                  <c:v>257</c:v>
                </c:pt>
                <c:pt idx="18">
                  <c:v>222</c:v>
                </c:pt>
                <c:pt idx="19">
                  <c:v>184</c:v>
                </c:pt>
                <c:pt idx="20">
                  <c:v>197</c:v>
                </c:pt>
                <c:pt idx="21">
                  <c:v>166</c:v>
                </c:pt>
                <c:pt idx="22">
                  <c:v>217</c:v>
                </c:pt>
                <c:pt idx="23">
                  <c:v>205</c:v>
                </c:pt>
                <c:pt idx="24">
                  <c:v>219</c:v>
                </c:pt>
                <c:pt idx="25">
                  <c:v>202</c:v>
                </c:pt>
                <c:pt idx="26">
                  <c:v>161</c:v>
                </c:pt>
                <c:pt idx="27">
                  <c:v>126</c:v>
                </c:pt>
                <c:pt idx="28">
                  <c:v>144</c:v>
                </c:pt>
                <c:pt idx="29">
                  <c:v>200</c:v>
                </c:pt>
              </c:numCache>
            </c:numRef>
          </c:val>
        </c:ser>
        <c:gapWidth val="150"/>
        <c:overlap val="0"/>
        <c:axId val="49372848"/>
        <c:axId val="80480114"/>
      </c:barChart>
      <c:lineChart>
        <c:grouping val="standard"/>
        <c:varyColors val="0"/>
        <c:ser>
          <c:idx val="1"/>
          <c:order val="1"/>
          <c:tx>
            <c:strRef>
              <c:f>데이터!D1</c:f>
              <c:strCache>
                <c:ptCount val="1"/>
                <c:pt idx="0">
                  <c:v>최고기온(℃)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데이터!$A$2:$A$31</c:f>
              <c:strCache>
                <c:ptCount val="30"/>
                <c:pt idx="0">
                  <c:v>2026-09-01</c:v>
                </c:pt>
                <c:pt idx="1">
                  <c:v>2026-09-02</c:v>
                </c:pt>
                <c:pt idx="2">
                  <c:v>2026-09-03</c:v>
                </c:pt>
                <c:pt idx="3">
                  <c:v>2026-09-04</c:v>
                </c:pt>
                <c:pt idx="4">
                  <c:v>2026-09-05</c:v>
                </c:pt>
                <c:pt idx="5">
                  <c:v>2026-09-06</c:v>
                </c:pt>
                <c:pt idx="6">
                  <c:v>2026-09-07</c:v>
                </c:pt>
                <c:pt idx="7">
                  <c:v>2026-09-08</c:v>
                </c:pt>
                <c:pt idx="8">
                  <c:v>2026-09-09</c:v>
                </c:pt>
                <c:pt idx="9">
                  <c:v>2026-09-10</c:v>
                </c:pt>
                <c:pt idx="10">
                  <c:v>2026-09-11</c:v>
                </c:pt>
                <c:pt idx="11">
                  <c:v>2026-09-12</c:v>
                </c:pt>
                <c:pt idx="12">
                  <c:v>2026-09-13</c:v>
                </c:pt>
                <c:pt idx="13">
                  <c:v>2026-09-14</c:v>
                </c:pt>
                <c:pt idx="14">
                  <c:v>2026-09-15</c:v>
                </c:pt>
                <c:pt idx="15">
                  <c:v>2026-09-16</c:v>
                </c:pt>
                <c:pt idx="16">
                  <c:v>2026-09-17</c:v>
                </c:pt>
                <c:pt idx="17">
                  <c:v>2026-09-18</c:v>
                </c:pt>
                <c:pt idx="18">
                  <c:v>2026-09-19</c:v>
                </c:pt>
                <c:pt idx="19">
                  <c:v>2026-09-20</c:v>
                </c:pt>
                <c:pt idx="20">
                  <c:v>2026-09-21</c:v>
                </c:pt>
                <c:pt idx="21">
                  <c:v>2026-09-22</c:v>
                </c:pt>
                <c:pt idx="22">
                  <c:v>2026-09-23</c:v>
                </c:pt>
                <c:pt idx="23">
                  <c:v>2026-09-24</c:v>
                </c:pt>
                <c:pt idx="24">
                  <c:v>2026-09-25</c:v>
                </c:pt>
                <c:pt idx="25">
                  <c:v>2026-09-26</c:v>
                </c:pt>
                <c:pt idx="26">
                  <c:v>2026-09-27</c:v>
                </c:pt>
                <c:pt idx="27">
                  <c:v>2026-09-28</c:v>
                </c:pt>
                <c:pt idx="28">
                  <c:v>2026-09-29</c:v>
                </c:pt>
                <c:pt idx="29">
                  <c:v>2026-09-30</c:v>
                </c:pt>
              </c:strCache>
            </c:strRef>
          </c:cat>
          <c:val>
            <c:numRef>
              <c:f>데이터!$D$2:$D$31</c:f>
              <c:numCache>
                <c:formatCode>0.0</c:formatCode>
                <c:ptCount val="30"/>
                <c:pt idx="0">
                  <c:v>31.5</c:v>
                </c:pt>
                <c:pt idx="1">
                  <c:v>31.4</c:v>
                </c:pt>
                <c:pt idx="2">
                  <c:v>31.2</c:v>
                </c:pt>
                <c:pt idx="3">
                  <c:v>28.2</c:v>
                </c:pt>
                <c:pt idx="4">
                  <c:v>30.8</c:v>
                </c:pt>
                <c:pt idx="5">
                  <c:v>28.3</c:v>
                </c:pt>
                <c:pt idx="6">
                  <c:v>30.1</c:v>
                </c:pt>
                <c:pt idx="7">
                  <c:v>28.2</c:v>
                </c:pt>
                <c:pt idx="8">
                  <c:v>28.8</c:v>
                </c:pt>
                <c:pt idx="9">
                  <c:v>29.3</c:v>
                </c:pt>
                <c:pt idx="10">
                  <c:v>29.6</c:v>
                </c:pt>
                <c:pt idx="11">
                  <c:v>30.3</c:v>
                </c:pt>
                <c:pt idx="12">
                  <c:v>28.2</c:v>
                </c:pt>
                <c:pt idx="13">
                  <c:v>28.3</c:v>
                </c:pt>
                <c:pt idx="14">
                  <c:v>26.9</c:v>
                </c:pt>
                <c:pt idx="15">
                  <c:v>29.1</c:v>
                </c:pt>
                <c:pt idx="16">
                  <c:v>28.5</c:v>
                </c:pt>
                <c:pt idx="17">
                  <c:v>30.9</c:v>
                </c:pt>
                <c:pt idx="18">
                  <c:v>27.3</c:v>
                </c:pt>
                <c:pt idx="19">
                  <c:v>25.8</c:v>
                </c:pt>
                <c:pt idx="20">
                  <c:v>26.9</c:v>
                </c:pt>
                <c:pt idx="21">
                  <c:v>24.4</c:v>
                </c:pt>
                <c:pt idx="22">
                  <c:v>28.4</c:v>
                </c:pt>
                <c:pt idx="23">
                  <c:v>28</c:v>
                </c:pt>
                <c:pt idx="24">
                  <c:v>28</c:v>
                </c:pt>
                <c:pt idx="25">
                  <c:v>25.2</c:v>
                </c:pt>
                <c:pt idx="26">
                  <c:v>24.7</c:v>
                </c:pt>
                <c:pt idx="27">
                  <c:v>23.5</c:v>
                </c:pt>
                <c:pt idx="28">
                  <c:v>25.4</c:v>
                </c:pt>
                <c:pt idx="29">
                  <c:v>27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2434926"/>
        <c:axId val="78189742"/>
      </c:lineChart>
      <c:catAx>
        <c:axId val="49372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480114"/>
        <c:crosses val="autoZero"/>
        <c:auto val="1"/>
        <c:lblAlgn val="ctr"/>
        <c:lblOffset val="100"/>
        <c:noMultiLvlLbl val="0"/>
      </c:catAx>
      <c:valAx>
        <c:axId val="804801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잔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372848"/>
        <c:crosses val="autoZero"/>
        <c:crossBetween val="between"/>
      </c:valAx>
      <c:catAx>
        <c:axId val="22434926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189742"/>
        <c:crosses val="autoZero"/>
        <c:auto val="1"/>
        <c:lblAlgn val="ctr"/>
        <c:lblOffset val="100"/>
        <c:noMultiLvlLbl val="0"/>
      </c:catAx>
      <c:valAx>
        <c:axId val="78189742"/>
        <c:scaling>
          <c:orientation val="minMax"/>
          <c:max val="35"/>
          <c:min val="15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℃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434926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163080</xdr:rowOff>
    </xdr:from>
    <xdr:to>
      <xdr:col>10</xdr:col>
      <xdr:colOff>364680</xdr:colOff>
      <xdr:row>20</xdr:row>
      <xdr:rowOff>143280</xdr:rowOff>
    </xdr:to>
    <xdr:graphicFrame>
      <xdr:nvGraphicFramePr>
        <xdr:cNvPr id="0" name="Chart 1"/>
        <xdr:cNvGraphicFramePr/>
      </xdr:nvGraphicFramePr>
      <xdr:xfrm>
        <a:off x="0" y="38088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23</xdr:row>
      <xdr:rowOff>163080</xdr:rowOff>
    </xdr:from>
    <xdr:to>
      <xdr:col>14</xdr:col>
      <xdr:colOff>78480</xdr:colOff>
      <xdr:row>42</xdr:row>
      <xdr:rowOff>143280</xdr:rowOff>
    </xdr:to>
    <xdr:graphicFrame>
      <xdr:nvGraphicFramePr>
        <xdr:cNvPr id="1" name="Chart 2"/>
        <xdr:cNvGraphicFramePr/>
      </xdr:nvGraphicFramePr>
      <xdr:xfrm>
        <a:off x="0" y="4572000"/>
        <a:ext cx="86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5"/>
  </cols>
  <sheetData>
    <row r="1" customFormat="false" ht="20.8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3" t="s">
        <v>3</v>
      </c>
    </row>
    <row r="6" customFormat="false" ht="15" hidden="false" customHeight="false" outlineLevel="0" collapsed="false">
      <c r="B6" s="3" t="s">
        <v>4</v>
      </c>
    </row>
    <row r="7" customFormat="false" ht="15" hidden="false" customHeight="false" outlineLevel="0" collapsed="false">
      <c r="B7" s="3" t="s">
        <v>5</v>
      </c>
    </row>
    <row r="8" customFormat="false" ht="15" hidden="false" customHeight="false" outlineLevel="0" collapsed="false">
      <c r="B8" s="3" t="s">
        <v>6</v>
      </c>
    </row>
    <row r="9" customFormat="false" ht="15" hidden="false" customHeight="false" outlineLevel="0" collapsed="false">
      <c r="B9" s="3" t="s">
        <v>7</v>
      </c>
    </row>
    <row r="11" customFormat="false" ht="15" hidden="false" customHeight="false" outlineLevel="0" collapsed="false">
      <c r="B11" s="4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6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8" min="7" style="0" width="13"/>
    <col collapsed="false" customWidth="true" hidden="false" outlineLevel="0" max="9" min="9" style="0" width="12"/>
  </cols>
  <sheetData>
    <row r="1" customFormat="false" ht="28.35" hidden="false" customHeight="false" outlineLevel="0" collapsed="false">
      <c r="A1" s="5" t="s">
        <v>9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14</v>
      </c>
      <c r="G1" s="5" t="s">
        <v>15</v>
      </c>
      <c r="H1" s="5" t="s">
        <v>16</v>
      </c>
      <c r="I1" s="5" t="s">
        <v>17</v>
      </c>
    </row>
    <row r="2" customFormat="false" ht="15" hidden="false" customHeight="false" outlineLevel="0" collapsed="false">
      <c r="A2" s="6" t="s">
        <v>18</v>
      </c>
      <c r="B2" s="7" t="s">
        <v>19</v>
      </c>
      <c r="C2" s="7" t="n">
        <v>0</v>
      </c>
      <c r="D2" s="8" t="n">
        <v>31.5</v>
      </c>
      <c r="E2" s="9" t="n">
        <v>0</v>
      </c>
      <c r="F2" s="9" t="n">
        <v>264</v>
      </c>
      <c r="G2" s="9" t="n">
        <v>255</v>
      </c>
      <c r="H2" s="9" t="n">
        <v>55</v>
      </c>
      <c r="I2" s="10" t="n">
        <v>2354</v>
      </c>
    </row>
    <row r="3" customFormat="false" ht="15" hidden="false" customHeight="false" outlineLevel="0" collapsed="false">
      <c r="A3" s="11" t="s">
        <v>20</v>
      </c>
      <c r="B3" s="12" t="s">
        <v>21</v>
      </c>
      <c r="C3" s="12" t="n">
        <v>0</v>
      </c>
      <c r="D3" s="13" t="n">
        <v>31.4</v>
      </c>
      <c r="E3" s="14" t="n">
        <v>0</v>
      </c>
      <c r="F3" s="14" t="n">
        <v>261</v>
      </c>
      <c r="G3" s="14" t="n">
        <v>256</v>
      </c>
      <c r="H3" s="14" t="n">
        <v>62</v>
      </c>
      <c r="I3" s="15" t="n">
        <v>2497</v>
      </c>
    </row>
    <row r="4" customFormat="false" ht="15" hidden="false" customHeight="false" outlineLevel="0" collapsed="false">
      <c r="A4" s="6" t="s">
        <v>22</v>
      </c>
      <c r="B4" s="7" t="s">
        <v>23</v>
      </c>
      <c r="C4" s="7" t="n">
        <v>0</v>
      </c>
      <c r="D4" s="8" t="n">
        <v>31.2</v>
      </c>
      <c r="E4" s="9" t="n">
        <v>0</v>
      </c>
      <c r="F4" s="9" t="n">
        <v>266</v>
      </c>
      <c r="G4" s="9" t="n">
        <v>269</v>
      </c>
      <c r="H4" s="9" t="n">
        <v>51</v>
      </c>
      <c r="I4" s="10" t="n">
        <v>2445</v>
      </c>
    </row>
    <row r="5" customFormat="false" ht="15" hidden="false" customHeight="false" outlineLevel="0" collapsed="false">
      <c r="A5" s="11" t="s">
        <v>24</v>
      </c>
      <c r="B5" s="12" t="s">
        <v>25</v>
      </c>
      <c r="C5" s="12" t="n">
        <v>0</v>
      </c>
      <c r="D5" s="13" t="n">
        <v>28.2</v>
      </c>
      <c r="E5" s="14" t="n">
        <v>0</v>
      </c>
      <c r="F5" s="14" t="n">
        <v>229</v>
      </c>
      <c r="G5" s="14" t="n">
        <v>206</v>
      </c>
      <c r="H5" s="14" t="n">
        <v>57</v>
      </c>
      <c r="I5" s="15" t="n">
        <v>2188</v>
      </c>
    </row>
    <row r="6" customFormat="false" ht="15" hidden="false" customHeight="false" outlineLevel="0" collapsed="false">
      <c r="A6" s="6" t="s">
        <v>26</v>
      </c>
      <c r="B6" s="7" t="s">
        <v>27</v>
      </c>
      <c r="C6" s="7" t="n">
        <v>1</v>
      </c>
      <c r="D6" s="8" t="n">
        <v>30.8</v>
      </c>
      <c r="E6" s="9" t="n">
        <v>0</v>
      </c>
      <c r="F6" s="9" t="n">
        <v>315</v>
      </c>
      <c r="G6" s="9" t="n">
        <v>266</v>
      </c>
      <c r="H6" s="9" t="n">
        <v>68</v>
      </c>
      <c r="I6" s="10" t="n">
        <v>2975</v>
      </c>
    </row>
    <row r="7" customFormat="false" ht="15" hidden="false" customHeight="false" outlineLevel="0" collapsed="false">
      <c r="A7" s="11" t="s">
        <v>28</v>
      </c>
      <c r="B7" s="12" t="s">
        <v>29</v>
      </c>
      <c r="C7" s="12" t="n">
        <v>1</v>
      </c>
      <c r="D7" s="13" t="n">
        <v>28.3</v>
      </c>
      <c r="E7" s="14" t="n">
        <v>44</v>
      </c>
      <c r="F7" s="14" t="n">
        <v>212</v>
      </c>
      <c r="G7" s="14" t="n">
        <v>196</v>
      </c>
      <c r="H7" s="14" t="n">
        <v>70</v>
      </c>
      <c r="I7" s="15" t="n">
        <v>1889</v>
      </c>
    </row>
    <row r="8" customFormat="false" ht="15" hidden="false" customHeight="false" outlineLevel="0" collapsed="false">
      <c r="A8" s="6" t="s">
        <v>30</v>
      </c>
      <c r="B8" s="7" t="s">
        <v>31</v>
      </c>
      <c r="C8" s="7" t="n">
        <v>0</v>
      </c>
      <c r="D8" s="8" t="n">
        <v>30.1</v>
      </c>
      <c r="E8" s="9" t="n">
        <v>0</v>
      </c>
      <c r="F8" s="9" t="n">
        <v>254</v>
      </c>
      <c r="G8" s="9" t="n">
        <v>241</v>
      </c>
      <c r="H8" s="9" t="n">
        <v>63</v>
      </c>
      <c r="I8" s="10" t="n">
        <v>2398</v>
      </c>
    </row>
    <row r="9" customFormat="false" ht="15" hidden="false" customHeight="false" outlineLevel="0" collapsed="false">
      <c r="A9" s="11" t="s">
        <v>32</v>
      </c>
      <c r="B9" s="12" t="s">
        <v>19</v>
      </c>
      <c r="C9" s="12" t="n">
        <v>0</v>
      </c>
      <c r="D9" s="13" t="n">
        <v>28.2</v>
      </c>
      <c r="E9" s="14" t="n">
        <v>0</v>
      </c>
      <c r="F9" s="14" t="n">
        <v>274</v>
      </c>
      <c r="G9" s="14" t="n">
        <v>206</v>
      </c>
      <c r="H9" s="14" t="n">
        <v>78</v>
      </c>
      <c r="I9" s="15" t="n">
        <v>2589</v>
      </c>
    </row>
    <row r="10" customFormat="false" ht="15" hidden="false" customHeight="false" outlineLevel="0" collapsed="false">
      <c r="A10" s="6" t="s">
        <v>33</v>
      </c>
      <c r="B10" s="7" t="s">
        <v>21</v>
      </c>
      <c r="C10" s="7" t="n">
        <v>0</v>
      </c>
      <c r="D10" s="8" t="n">
        <v>28.8</v>
      </c>
      <c r="E10" s="9" t="n">
        <v>0</v>
      </c>
      <c r="F10" s="9" t="n">
        <v>268</v>
      </c>
      <c r="G10" s="9" t="n">
        <v>216</v>
      </c>
      <c r="H10" s="9" t="n">
        <v>69</v>
      </c>
      <c r="I10" s="10" t="n">
        <v>2593</v>
      </c>
    </row>
    <row r="11" customFormat="false" ht="15" hidden="false" customHeight="false" outlineLevel="0" collapsed="false">
      <c r="A11" s="11" t="s">
        <v>34</v>
      </c>
      <c r="B11" s="12" t="s">
        <v>23</v>
      </c>
      <c r="C11" s="12" t="n">
        <v>0</v>
      </c>
      <c r="D11" s="13" t="n">
        <v>29.3</v>
      </c>
      <c r="E11" s="14" t="n">
        <v>0</v>
      </c>
      <c r="F11" s="14" t="n">
        <v>258</v>
      </c>
      <c r="G11" s="14" t="n">
        <v>241</v>
      </c>
      <c r="H11" s="14" t="n">
        <v>76</v>
      </c>
      <c r="I11" s="15" t="n">
        <v>2340</v>
      </c>
    </row>
    <row r="12" customFormat="false" ht="15" hidden="false" customHeight="false" outlineLevel="0" collapsed="false">
      <c r="A12" s="6" t="s">
        <v>35</v>
      </c>
      <c r="B12" s="7" t="s">
        <v>25</v>
      </c>
      <c r="C12" s="7" t="n">
        <v>0</v>
      </c>
      <c r="D12" s="8" t="n">
        <v>29.6</v>
      </c>
      <c r="E12" s="9" t="n">
        <v>0</v>
      </c>
      <c r="F12" s="9" t="n">
        <v>262</v>
      </c>
      <c r="G12" s="9" t="n">
        <v>225</v>
      </c>
      <c r="H12" s="9" t="n">
        <v>61</v>
      </c>
      <c r="I12" s="10" t="n">
        <v>2439</v>
      </c>
    </row>
    <row r="13" customFormat="false" ht="15" hidden="false" customHeight="false" outlineLevel="0" collapsed="false">
      <c r="A13" s="11" t="s">
        <v>36</v>
      </c>
      <c r="B13" s="12" t="s">
        <v>27</v>
      </c>
      <c r="C13" s="12" t="n">
        <v>1</v>
      </c>
      <c r="D13" s="13" t="n">
        <v>30.3</v>
      </c>
      <c r="E13" s="14" t="n">
        <v>0</v>
      </c>
      <c r="F13" s="14" t="n">
        <v>330</v>
      </c>
      <c r="G13" s="14" t="n">
        <v>261</v>
      </c>
      <c r="H13" s="14" t="n">
        <v>77</v>
      </c>
      <c r="I13" s="15" t="n">
        <v>2840</v>
      </c>
    </row>
    <row r="14" customFormat="false" ht="15" hidden="false" customHeight="false" outlineLevel="0" collapsed="false">
      <c r="A14" s="6" t="s">
        <v>37</v>
      </c>
      <c r="B14" s="7" t="s">
        <v>29</v>
      </c>
      <c r="C14" s="7" t="n">
        <v>1</v>
      </c>
      <c r="D14" s="8" t="n">
        <v>28.2</v>
      </c>
      <c r="E14" s="9" t="n">
        <v>3</v>
      </c>
      <c r="F14" s="9" t="n">
        <v>350</v>
      </c>
      <c r="G14" s="9" t="n">
        <v>255</v>
      </c>
      <c r="H14" s="9" t="n">
        <v>80</v>
      </c>
      <c r="I14" s="10" t="n">
        <v>3238</v>
      </c>
    </row>
    <row r="15" customFormat="false" ht="15" hidden="false" customHeight="false" outlineLevel="0" collapsed="false">
      <c r="A15" s="11" t="s">
        <v>38</v>
      </c>
      <c r="B15" s="12" t="s">
        <v>31</v>
      </c>
      <c r="C15" s="12" t="n">
        <v>0</v>
      </c>
      <c r="D15" s="13" t="n">
        <v>28.3</v>
      </c>
      <c r="E15" s="14" t="n">
        <v>34</v>
      </c>
      <c r="F15" s="14" t="n">
        <v>163</v>
      </c>
      <c r="G15" s="14" t="n">
        <v>193</v>
      </c>
      <c r="H15" s="14" t="n">
        <v>55</v>
      </c>
      <c r="I15" s="15" t="n">
        <v>1502</v>
      </c>
    </row>
    <row r="16" customFormat="false" ht="15" hidden="false" customHeight="false" outlineLevel="0" collapsed="false">
      <c r="A16" s="6" t="s">
        <v>39</v>
      </c>
      <c r="B16" s="7" t="s">
        <v>19</v>
      </c>
      <c r="C16" s="7" t="n">
        <v>0</v>
      </c>
      <c r="D16" s="8" t="n">
        <v>26.9</v>
      </c>
      <c r="E16" s="9" t="n">
        <v>0</v>
      </c>
      <c r="F16" s="9" t="n">
        <v>243</v>
      </c>
      <c r="G16" s="9" t="n">
        <v>209</v>
      </c>
      <c r="H16" s="9" t="n">
        <v>77</v>
      </c>
      <c r="I16" s="10" t="n">
        <v>2285</v>
      </c>
    </row>
    <row r="17" customFormat="false" ht="15" hidden="false" customHeight="false" outlineLevel="0" collapsed="false">
      <c r="A17" s="11" t="s">
        <v>40</v>
      </c>
      <c r="B17" s="12" t="s">
        <v>21</v>
      </c>
      <c r="C17" s="12" t="n">
        <v>0</v>
      </c>
      <c r="D17" s="13" t="n">
        <v>29.1</v>
      </c>
      <c r="E17" s="14" t="n">
        <v>0</v>
      </c>
      <c r="F17" s="14" t="n">
        <v>273</v>
      </c>
      <c r="G17" s="14" t="n">
        <v>235</v>
      </c>
      <c r="H17" s="14" t="n">
        <v>73</v>
      </c>
      <c r="I17" s="15" t="n">
        <v>2400</v>
      </c>
    </row>
    <row r="18" customFormat="false" ht="15" hidden="false" customHeight="false" outlineLevel="0" collapsed="false">
      <c r="A18" s="6" t="s">
        <v>41</v>
      </c>
      <c r="B18" s="7" t="s">
        <v>23</v>
      </c>
      <c r="C18" s="7" t="n">
        <v>0</v>
      </c>
      <c r="D18" s="8" t="n">
        <v>28.5</v>
      </c>
      <c r="E18" s="9" t="n">
        <v>41</v>
      </c>
      <c r="F18" s="9" t="n">
        <v>121</v>
      </c>
      <c r="G18" s="9" t="n">
        <v>175</v>
      </c>
      <c r="H18" s="9" t="n">
        <v>43</v>
      </c>
      <c r="I18" s="10" t="n">
        <v>1158</v>
      </c>
    </row>
    <row r="19" customFormat="false" ht="15" hidden="false" customHeight="false" outlineLevel="0" collapsed="false">
      <c r="A19" s="11" t="s">
        <v>42</v>
      </c>
      <c r="B19" s="12" t="s">
        <v>25</v>
      </c>
      <c r="C19" s="12" t="n">
        <v>0</v>
      </c>
      <c r="D19" s="13" t="n">
        <v>30.9</v>
      </c>
      <c r="E19" s="14" t="n">
        <v>0</v>
      </c>
      <c r="F19" s="14" t="n">
        <v>257</v>
      </c>
      <c r="G19" s="14" t="n">
        <v>257</v>
      </c>
      <c r="H19" s="14" t="n">
        <v>63</v>
      </c>
      <c r="I19" s="15" t="n">
        <v>2392</v>
      </c>
    </row>
    <row r="20" customFormat="false" ht="15" hidden="false" customHeight="false" outlineLevel="0" collapsed="false">
      <c r="A20" s="6" t="s">
        <v>43</v>
      </c>
      <c r="B20" s="7" t="s">
        <v>27</v>
      </c>
      <c r="C20" s="7" t="n">
        <v>1</v>
      </c>
      <c r="D20" s="8" t="n">
        <v>27.3</v>
      </c>
      <c r="E20" s="9" t="n">
        <v>0</v>
      </c>
      <c r="F20" s="9" t="n">
        <v>343</v>
      </c>
      <c r="G20" s="9" t="n">
        <v>222</v>
      </c>
      <c r="H20" s="9" t="n">
        <v>84</v>
      </c>
      <c r="I20" s="10" t="n">
        <v>3233</v>
      </c>
    </row>
    <row r="21" customFormat="false" ht="15" hidden="false" customHeight="false" outlineLevel="0" collapsed="false">
      <c r="A21" s="11" t="s">
        <v>44</v>
      </c>
      <c r="B21" s="12" t="s">
        <v>29</v>
      </c>
      <c r="C21" s="12" t="n">
        <v>1</v>
      </c>
      <c r="D21" s="13" t="n">
        <v>25.8</v>
      </c>
      <c r="E21" s="14" t="n">
        <v>38</v>
      </c>
      <c r="F21" s="14" t="n">
        <v>245</v>
      </c>
      <c r="G21" s="14" t="n">
        <v>184</v>
      </c>
      <c r="H21" s="14" t="n">
        <v>77</v>
      </c>
      <c r="I21" s="15" t="n">
        <v>2226</v>
      </c>
    </row>
    <row r="22" customFormat="false" ht="15" hidden="false" customHeight="false" outlineLevel="0" collapsed="false">
      <c r="A22" s="6" t="s">
        <v>45</v>
      </c>
      <c r="B22" s="7" t="s">
        <v>31</v>
      </c>
      <c r="C22" s="7" t="n">
        <v>0</v>
      </c>
      <c r="D22" s="8" t="n">
        <v>26.9</v>
      </c>
      <c r="E22" s="9" t="n">
        <v>0</v>
      </c>
      <c r="F22" s="9" t="n">
        <v>234</v>
      </c>
      <c r="G22" s="9" t="n">
        <v>197</v>
      </c>
      <c r="H22" s="9" t="n">
        <v>56</v>
      </c>
      <c r="I22" s="10" t="n">
        <v>2307</v>
      </c>
    </row>
    <row r="23" customFormat="false" ht="15" hidden="false" customHeight="false" outlineLevel="0" collapsed="false">
      <c r="A23" s="11" t="s">
        <v>46</v>
      </c>
      <c r="B23" s="12" t="s">
        <v>19</v>
      </c>
      <c r="C23" s="12" t="n">
        <v>0</v>
      </c>
      <c r="D23" s="13" t="n">
        <v>24.4</v>
      </c>
      <c r="E23" s="14" t="n">
        <v>0</v>
      </c>
      <c r="F23" s="14" t="n">
        <v>228</v>
      </c>
      <c r="G23" s="14" t="n">
        <v>166</v>
      </c>
      <c r="H23" s="14" t="n">
        <v>80</v>
      </c>
      <c r="I23" s="15" t="n">
        <v>1941</v>
      </c>
    </row>
    <row r="24" customFormat="false" ht="15" hidden="false" customHeight="false" outlineLevel="0" collapsed="false">
      <c r="A24" s="6" t="s">
        <v>47</v>
      </c>
      <c r="B24" s="7" t="s">
        <v>21</v>
      </c>
      <c r="C24" s="7" t="n">
        <v>0</v>
      </c>
      <c r="D24" s="8" t="n">
        <v>28.4</v>
      </c>
      <c r="E24" s="9" t="n">
        <v>0</v>
      </c>
      <c r="F24" s="9" t="n">
        <v>255</v>
      </c>
      <c r="G24" s="9" t="n">
        <v>217</v>
      </c>
      <c r="H24" s="9" t="n">
        <v>67</v>
      </c>
      <c r="I24" s="10" t="n">
        <v>2267</v>
      </c>
    </row>
    <row r="25" customFormat="false" ht="15" hidden="false" customHeight="false" outlineLevel="0" collapsed="false">
      <c r="A25" s="11" t="s">
        <v>48</v>
      </c>
      <c r="B25" s="12" t="s">
        <v>23</v>
      </c>
      <c r="C25" s="12" t="n">
        <v>0</v>
      </c>
      <c r="D25" s="13" t="n">
        <v>28</v>
      </c>
      <c r="E25" s="14" t="n">
        <v>0</v>
      </c>
      <c r="F25" s="14" t="n">
        <v>253</v>
      </c>
      <c r="G25" s="14" t="n">
        <v>205</v>
      </c>
      <c r="H25" s="14" t="n">
        <v>65</v>
      </c>
      <c r="I25" s="15" t="n">
        <v>2215</v>
      </c>
    </row>
    <row r="26" customFormat="false" ht="15" hidden="false" customHeight="false" outlineLevel="0" collapsed="false">
      <c r="A26" s="6" t="s">
        <v>49</v>
      </c>
      <c r="B26" s="7" t="s">
        <v>25</v>
      </c>
      <c r="C26" s="7" t="n">
        <v>0</v>
      </c>
      <c r="D26" s="8" t="n">
        <v>28</v>
      </c>
      <c r="E26" s="9" t="n">
        <v>0</v>
      </c>
      <c r="F26" s="9" t="n">
        <v>268</v>
      </c>
      <c r="G26" s="9" t="n">
        <v>219</v>
      </c>
      <c r="H26" s="9" t="n">
        <v>67</v>
      </c>
      <c r="I26" s="10" t="n">
        <v>2472</v>
      </c>
    </row>
    <row r="27" customFormat="false" ht="15" hidden="false" customHeight="false" outlineLevel="0" collapsed="false">
      <c r="A27" s="11" t="s">
        <v>50</v>
      </c>
      <c r="B27" s="12" t="s">
        <v>27</v>
      </c>
      <c r="C27" s="12" t="n">
        <v>1</v>
      </c>
      <c r="D27" s="13" t="n">
        <v>25.2</v>
      </c>
      <c r="E27" s="14" t="n">
        <v>0</v>
      </c>
      <c r="F27" s="14" t="n">
        <v>348</v>
      </c>
      <c r="G27" s="14" t="n">
        <v>202</v>
      </c>
      <c r="H27" s="14" t="n">
        <v>91</v>
      </c>
      <c r="I27" s="15" t="n">
        <v>3094</v>
      </c>
    </row>
    <row r="28" customFormat="false" ht="15" hidden="false" customHeight="false" outlineLevel="0" collapsed="false">
      <c r="A28" s="6" t="s">
        <v>51</v>
      </c>
      <c r="B28" s="7" t="s">
        <v>29</v>
      </c>
      <c r="C28" s="7" t="n">
        <v>1</v>
      </c>
      <c r="D28" s="8" t="n">
        <v>24.7</v>
      </c>
      <c r="E28" s="9" t="n">
        <v>20</v>
      </c>
      <c r="F28" s="9" t="n">
        <v>264</v>
      </c>
      <c r="G28" s="9" t="n">
        <v>161</v>
      </c>
      <c r="H28" s="9" t="n">
        <v>85</v>
      </c>
      <c r="I28" s="10" t="n">
        <v>2668</v>
      </c>
    </row>
    <row r="29" customFormat="false" ht="15" hidden="false" customHeight="false" outlineLevel="0" collapsed="false">
      <c r="A29" s="11" t="s">
        <v>52</v>
      </c>
      <c r="B29" s="12" t="s">
        <v>31</v>
      </c>
      <c r="C29" s="12" t="n">
        <v>0</v>
      </c>
      <c r="D29" s="13" t="n">
        <v>23.5</v>
      </c>
      <c r="E29" s="14" t="n">
        <v>0</v>
      </c>
      <c r="F29" s="14" t="n">
        <v>227</v>
      </c>
      <c r="G29" s="14" t="n">
        <v>126</v>
      </c>
      <c r="H29" s="14" t="n">
        <v>87</v>
      </c>
      <c r="I29" s="15" t="n">
        <v>2132</v>
      </c>
    </row>
    <row r="30" customFormat="false" ht="15" hidden="false" customHeight="false" outlineLevel="0" collapsed="false">
      <c r="A30" s="6" t="s">
        <v>53</v>
      </c>
      <c r="B30" s="7" t="s">
        <v>19</v>
      </c>
      <c r="C30" s="7" t="n">
        <v>0</v>
      </c>
      <c r="D30" s="8" t="n">
        <v>25.4</v>
      </c>
      <c r="E30" s="9" t="n">
        <v>33</v>
      </c>
      <c r="F30" s="9" t="n">
        <v>150</v>
      </c>
      <c r="G30" s="9" t="n">
        <v>144</v>
      </c>
      <c r="H30" s="9" t="n">
        <v>57</v>
      </c>
      <c r="I30" s="10" t="n">
        <v>1254</v>
      </c>
    </row>
    <row r="31" customFormat="false" ht="15" hidden="false" customHeight="false" outlineLevel="0" collapsed="false">
      <c r="A31" s="11" t="s">
        <v>54</v>
      </c>
      <c r="B31" s="12" t="s">
        <v>21</v>
      </c>
      <c r="C31" s="12" t="n">
        <v>0</v>
      </c>
      <c r="D31" s="13" t="n">
        <v>27</v>
      </c>
      <c r="E31" s="14" t="n">
        <v>0</v>
      </c>
      <c r="F31" s="14" t="n">
        <v>254</v>
      </c>
      <c r="G31" s="14" t="n">
        <v>200</v>
      </c>
      <c r="H31" s="14" t="n">
        <v>70</v>
      </c>
      <c r="I31" s="15" t="n">
        <v>2322</v>
      </c>
    </row>
    <row r="33" customFormat="false" ht="15" hidden="false" customHeight="false" outlineLevel="0" collapsed="false">
      <c r="A33" s="16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2"/>
  </cols>
  <sheetData>
    <row r="1" customFormat="false" ht="17.15" hidden="false" customHeight="false" outlineLevel="0" collapsed="false">
      <c r="A1" s="17" t="s">
        <v>56</v>
      </c>
    </row>
    <row r="3" customFormat="false" ht="15" hidden="false" customHeight="false" outlineLevel="0" collapsed="false">
      <c r="A3" s="5"/>
      <c r="B3" s="5" t="s">
        <v>57</v>
      </c>
      <c r="C3" s="5" t="s">
        <v>58</v>
      </c>
      <c r="D3" s="5" t="s">
        <v>59</v>
      </c>
      <c r="E3" s="5" t="s">
        <v>60</v>
      </c>
      <c r="F3" s="5" t="s">
        <v>61</v>
      </c>
      <c r="G3" s="5" t="s">
        <v>62</v>
      </c>
    </row>
    <row r="4" customFormat="false" ht="15" hidden="false" customHeight="false" outlineLevel="0" collapsed="false">
      <c r="A4" s="5" t="s">
        <v>57</v>
      </c>
      <c r="B4" s="18" t="n">
        <f aca="false">CORREL(데이터!$D$2:$D$31,데이터!$D$2:$D$31)</f>
        <v>1</v>
      </c>
      <c r="C4" s="18" t="n">
        <f aca="false">CORREL(데이터!$D$2:$D$31,데이터!$E$2:$E$31)</f>
        <v>-0.242399140837945</v>
      </c>
      <c r="D4" s="18" t="n">
        <f aca="false">CORREL(데이터!$D$2:$D$31,데이터!$F$2:$F$31)</f>
        <v>0.181807015544886</v>
      </c>
      <c r="E4" s="18" t="n">
        <f aca="false">CORREL(데이터!$D$2:$D$31,데이터!$G$2:$G$31)</f>
        <v>0.882123418044355</v>
      </c>
      <c r="F4" s="18" t="n">
        <f aca="false">CORREL(데이터!$D$2:$D$31,데이터!$H$2:$H$31)</f>
        <v>-0.533692829708156</v>
      </c>
      <c r="G4" s="18" t="n">
        <f aca="false">CORREL(데이터!$D$2:$D$31,데이터!$I$2:$I$31)</f>
        <v>0.178765543807831</v>
      </c>
    </row>
    <row r="5" customFormat="false" ht="15" hidden="false" customHeight="false" outlineLevel="0" collapsed="false">
      <c r="A5" s="5" t="s">
        <v>58</v>
      </c>
      <c r="B5" s="18" t="n">
        <f aca="false">CORREL(데이터!$E$2:$E$31,데이터!$D$2:$D$31)</f>
        <v>-0.242399140837945</v>
      </c>
      <c r="C5" s="18" t="n">
        <f aca="false">CORREL(데이터!$E$2:$E$31,데이터!$E$2:$E$31)</f>
        <v>1</v>
      </c>
      <c r="D5" s="18" t="n">
        <f aca="false">CORREL(데이터!$E$2:$E$31,데이터!$F$2:$F$31)</f>
        <v>-0.636949435895211</v>
      </c>
      <c r="E5" s="18" t="n">
        <f aca="false">CORREL(데이터!$E$2:$E$31,데이터!$G$2:$G$31)</f>
        <v>-0.475867721132491</v>
      </c>
      <c r="F5" s="18" t="n">
        <f aca="false">CORREL(데이터!$E$2:$E$31,데이터!$H$2:$H$31)</f>
        <v>-0.241952127850968</v>
      </c>
      <c r="G5" s="18" t="n">
        <f aca="false">CORREL(데이터!$E$2:$E$31,데이터!$I$2:$I$31)</f>
        <v>-0.634209066673644</v>
      </c>
    </row>
    <row r="6" customFormat="false" ht="15" hidden="false" customHeight="false" outlineLevel="0" collapsed="false">
      <c r="A6" s="5" t="s">
        <v>59</v>
      </c>
      <c r="B6" s="18" t="n">
        <f aca="false">CORREL(데이터!$F$2:$F$31,데이터!$D$2:$D$31)</f>
        <v>0.181807015544886</v>
      </c>
      <c r="C6" s="18" t="n">
        <f aca="false">CORREL(데이터!$F$2:$F$31,데이터!$E$2:$E$31)</f>
        <v>-0.636949435895211</v>
      </c>
      <c r="D6" s="18" t="n">
        <f aca="false">CORREL(데이터!$F$2:$F$31,데이터!$F$2:$F$31)</f>
        <v>1</v>
      </c>
      <c r="E6" s="18" t="n">
        <f aca="false">CORREL(데이터!$F$2:$F$31,데이터!$G$2:$G$31)</f>
        <v>0.570121905949117</v>
      </c>
      <c r="F6" s="18" t="n">
        <f aca="false">CORREL(데이터!$F$2:$F$31,데이터!$H$2:$H$31)</f>
        <v>0.599736067741963</v>
      </c>
      <c r="G6" s="18" t="n">
        <f aca="false">CORREL(데이터!$F$2:$F$31,데이터!$I$2:$I$31)</f>
        <v>0.979818902939062</v>
      </c>
    </row>
    <row r="7" customFormat="false" ht="15" hidden="false" customHeight="false" outlineLevel="0" collapsed="false">
      <c r="A7" s="5" t="s">
        <v>60</v>
      </c>
      <c r="B7" s="18" t="n">
        <f aca="false">CORREL(데이터!$G$2:$G$31,데이터!$D$2:$D$31)</f>
        <v>0.882123418044355</v>
      </c>
      <c r="C7" s="18" t="n">
        <f aca="false">CORREL(데이터!$G$2:$G$31,데이터!$E$2:$E$31)</f>
        <v>-0.475867721132491</v>
      </c>
      <c r="D7" s="18" t="n">
        <f aca="false">CORREL(데이터!$G$2:$G$31,데이터!$F$2:$F$31)</f>
        <v>0.570121905949117</v>
      </c>
      <c r="E7" s="18" t="n">
        <f aca="false">CORREL(데이터!$G$2:$G$31,데이터!$G$2:$G$31)</f>
        <v>1</v>
      </c>
      <c r="F7" s="18" t="n">
        <f aca="false">CORREL(데이터!$G$2:$G$31,데이터!$H$2:$H$31)</f>
        <v>-0.188149425197725</v>
      </c>
      <c r="G7" s="18" t="n">
        <f aca="false">CORREL(데이터!$G$2:$G$31,데이터!$I$2:$I$31)</f>
        <v>0.550690367996326</v>
      </c>
    </row>
    <row r="8" customFormat="false" ht="15" hidden="false" customHeight="false" outlineLevel="0" collapsed="false">
      <c r="A8" s="5" t="s">
        <v>61</v>
      </c>
      <c r="B8" s="18" t="n">
        <f aca="false">CORREL(데이터!$H$2:$H$31,데이터!$D$2:$D$31)</f>
        <v>-0.533692829708156</v>
      </c>
      <c r="C8" s="18" t="n">
        <f aca="false">CORREL(데이터!$H$2:$H$31,데이터!$E$2:$E$31)</f>
        <v>-0.241952127850968</v>
      </c>
      <c r="D8" s="18" t="n">
        <f aca="false">CORREL(데이터!$H$2:$H$31,데이터!$F$2:$F$31)</f>
        <v>0.599736067741963</v>
      </c>
      <c r="E8" s="18" t="n">
        <f aca="false">CORREL(데이터!$H$2:$H$31,데이터!$G$2:$G$31)</f>
        <v>-0.188149425197725</v>
      </c>
      <c r="F8" s="18" t="n">
        <f aca="false">CORREL(데이터!$H$2:$H$31,데이터!$H$2:$H$31)</f>
        <v>1</v>
      </c>
      <c r="G8" s="18" t="n">
        <f aca="false">CORREL(데이터!$H$2:$H$31,데이터!$I$2:$I$31)</f>
        <v>0.575675483364387</v>
      </c>
    </row>
    <row r="9" customFormat="false" ht="15" hidden="false" customHeight="false" outlineLevel="0" collapsed="false">
      <c r="A9" s="5" t="s">
        <v>62</v>
      </c>
      <c r="B9" s="18" t="n">
        <f aca="false">CORREL(데이터!$I$2:$I$31,데이터!$D$2:$D$31)</f>
        <v>0.178765543807831</v>
      </c>
      <c r="C9" s="18" t="n">
        <f aca="false">CORREL(데이터!$I$2:$I$31,데이터!$E$2:$E$31)</f>
        <v>-0.634209066673644</v>
      </c>
      <c r="D9" s="18" t="n">
        <f aca="false">CORREL(데이터!$I$2:$I$31,데이터!$F$2:$F$31)</f>
        <v>0.979818902939062</v>
      </c>
      <c r="E9" s="18" t="n">
        <f aca="false">CORREL(데이터!$I$2:$I$31,데이터!$G$2:$G$31)</f>
        <v>0.550690367996326</v>
      </c>
      <c r="F9" s="18" t="n">
        <f aca="false">CORREL(데이터!$I$2:$I$31,데이터!$H$2:$H$31)</f>
        <v>0.575675483364387</v>
      </c>
      <c r="G9" s="18" t="n">
        <f aca="false">CORREL(데이터!$I$2:$I$31,데이터!$I$2:$I$31)</f>
        <v>1</v>
      </c>
    </row>
    <row r="11" customFormat="false" ht="15" hidden="false" customHeight="false" outlineLevel="0" collapsed="false">
      <c r="A11" s="16" t="s">
        <v>63</v>
      </c>
    </row>
  </sheetData>
  <conditionalFormatting sqref="B4:G9">
    <cfRule type="colorScale" priority="2">
      <colorScale>
        <cfvo type="num" val="-1"/>
        <cfvo type="num" val="0"/>
        <cfvo type="num" val="1"/>
        <color rgb="FF1E4468"/>
        <color rgb="FFFFFFFF"/>
        <color rgb="FFC8692A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52"/>
  </cols>
  <sheetData>
    <row r="1" customFormat="false" ht="17.15" hidden="false" customHeight="false" outlineLevel="0" collapsed="false">
      <c r="A1" s="17" t="s">
        <v>64</v>
      </c>
    </row>
    <row r="2" customFormat="false" ht="15" hidden="false" customHeight="false" outlineLevel="0" collapsed="false">
      <c r="A2" s="5" t="s">
        <v>65</v>
      </c>
      <c r="B2" s="5" t="s">
        <v>66</v>
      </c>
      <c r="C2" s="5" t="s">
        <v>67</v>
      </c>
    </row>
    <row r="3" customFormat="false" ht="15" hidden="false" customHeight="false" outlineLevel="0" collapsed="false">
      <c r="A3" s="19" t="s">
        <v>68</v>
      </c>
      <c r="B3" s="20" t="n">
        <f aca="false">CORREL(데이터!$D$2:$D$31,데이터!$G$2:$G$31)</f>
        <v>0.882123418044355</v>
      </c>
      <c r="C3" s="21" t="s">
        <v>69</v>
      </c>
    </row>
    <row r="4" customFormat="false" ht="15" hidden="false" customHeight="false" outlineLevel="0" collapsed="false">
      <c r="A4" s="19" t="s">
        <v>70</v>
      </c>
      <c r="B4" s="20" t="n">
        <f aca="false">SLOPE(데이터!$G$2:$G$31,데이터!$D$2:$D$31)</f>
        <v>15.035310311808</v>
      </c>
      <c r="C4" s="21" t="s">
        <v>71</v>
      </c>
    </row>
    <row r="5" customFormat="false" ht="15" hidden="false" customHeight="false" outlineLevel="0" collapsed="false">
      <c r="A5" s="19" t="s">
        <v>72</v>
      </c>
      <c r="B5" s="22" t="n">
        <f aca="false">INTERCEPT(데이터!$G$2:$G$31,데이터!$D$2:$D$31)</f>
        <v>-209.593632174277</v>
      </c>
      <c r="C5" s="21" t="s">
        <v>73</v>
      </c>
    </row>
    <row r="6" customFormat="false" ht="15" hidden="false" customHeight="false" outlineLevel="0" collapsed="false">
      <c r="A6" s="19" t="s">
        <v>74</v>
      </c>
      <c r="B6" s="20" t="n">
        <f aca="false">RSQ(데이터!$G$2:$G$31,데이터!$D$2:$D$31)</f>
        <v>0.778141724662256</v>
      </c>
      <c r="C6" s="21" t="s">
        <v>75</v>
      </c>
    </row>
    <row r="7" customFormat="false" ht="15" hidden="false" customHeight="false" outlineLevel="0" collapsed="false">
      <c r="A7" s="19" t="s">
        <v>76</v>
      </c>
      <c r="B7" s="22" t="n">
        <f aca="false">STEYX(데이터!$G$2:$G$31,데이터!$D$2:$D$31)</f>
        <v>17.5413117844381</v>
      </c>
      <c r="C7" s="21" t="s">
        <v>77</v>
      </c>
    </row>
    <row r="8" customFormat="false" ht="15" hidden="false" customHeight="false" outlineLevel="0" collapsed="false">
      <c r="A8" s="19" t="s">
        <v>78</v>
      </c>
      <c r="B8" s="23" t="n">
        <f aca="false">FORECAST(B11,데이터!$G$2:$G$31,데이터!$D$2:$D$31)</f>
        <v>211.395056556347</v>
      </c>
      <c r="C8" s="21" t="s">
        <v>79</v>
      </c>
    </row>
    <row r="9" customFormat="false" ht="15" hidden="false" customHeight="false" outlineLevel="0" collapsed="false">
      <c r="A9" s="19" t="s">
        <v>80</v>
      </c>
      <c r="B9" s="22" t="n">
        <f aca="false">MIN(데이터!$D$2:$D$31)</f>
        <v>23.5</v>
      </c>
      <c r="C9" s="21" t="s">
        <v>81</v>
      </c>
    </row>
    <row r="10" customFormat="false" ht="15" hidden="false" customHeight="false" outlineLevel="0" collapsed="false">
      <c r="A10" s="19" t="s">
        <v>82</v>
      </c>
      <c r="B10" s="22" t="n">
        <f aca="false">MAX(데이터!$D$2:$D$31)</f>
        <v>31.5</v>
      </c>
      <c r="C10" s="21" t="s">
        <v>83</v>
      </c>
    </row>
    <row r="11" customFormat="false" ht="15" hidden="false" customHeight="false" outlineLevel="0" collapsed="false">
      <c r="A11" s="24" t="s">
        <v>84</v>
      </c>
      <c r="B11" s="25" t="n">
        <v>28</v>
      </c>
      <c r="C11" s="16" t="s">
        <v>85</v>
      </c>
    </row>
    <row r="14" customFormat="false" ht="17.15" hidden="false" customHeight="false" outlineLevel="0" collapsed="false">
      <c r="A14" s="17" t="s">
        <v>86</v>
      </c>
    </row>
    <row r="15" customFormat="false" ht="15" hidden="false" customHeight="false" outlineLevel="0" collapsed="false">
      <c r="A15" s="5" t="s">
        <v>65</v>
      </c>
      <c r="B15" s="5" t="s">
        <v>66</v>
      </c>
      <c r="C15" s="5" t="s">
        <v>87</v>
      </c>
    </row>
    <row r="16" customFormat="false" ht="15" hidden="false" customHeight="false" outlineLevel="0" collapsed="false">
      <c r="A16" s="19" t="s">
        <v>88</v>
      </c>
      <c r="B16" s="22" t="n">
        <f aca="false">INDEX(LINEST(데이터!$F$2:$F$31,데이터!$C$2:$E$31,TRUE(),TRUE()),1,3)</f>
        <v>87.1014831158526</v>
      </c>
      <c r="C16" s="26" t="s">
        <v>89</v>
      </c>
    </row>
    <row r="17" customFormat="false" ht="15" hidden="false" customHeight="false" outlineLevel="0" collapsed="false">
      <c r="A17" s="19" t="s">
        <v>90</v>
      </c>
      <c r="B17" s="20" t="n">
        <f aca="false">INDEX(LINEST(데이터!$F$2:$F$31,데이터!$C$2:$E$31,TRUE(),TRUE()),1,2)</f>
        <v>2.64615320548514</v>
      </c>
      <c r="C17" s="21" t="s">
        <v>91</v>
      </c>
    </row>
    <row r="18" customFormat="false" ht="15" hidden="false" customHeight="false" outlineLevel="0" collapsed="false">
      <c r="A18" s="19" t="s">
        <v>92</v>
      </c>
      <c r="B18" s="20" t="n">
        <f aca="false">INDEX(LINEST(데이터!$F$2:$F$31,데이터!$C$2:$E$31,TRUE(),TRUE()),1,1)</f>
        <v>-2.84442783798498</v>
      </c>
      <c r="C18" s="26" t="s">
        <v>93</v>
      </c>
    </row>
    <row r="19" customFormat="false" ht="15" hidden="false" customHeight="false" outlineLevel="0" collapsed="false">
      <c r="A19" s="27" t="s">
        <v>94</v>
      </c>
      <c r="B19" s="22" t="n">
        <f aca="false">INDEX(LINEST(데이터!$F$2:$F$31,데이터!$C$2:$E$31,TRUE(),TRUE()),1,4)</f>
        <v>178.138957616447</v>
      </c>
      <c r="C19" s="26"/>
    </row>
    <row r="20" customFormat="false" ht="15" hidden="false" customHeight="false" outlineLevel="0" collapsed="false">
      <c r="A20" s="19" t="s">
        <v>74</v>
      </c>
      <c r="B20" s="20" t="n">
        <f aca="false">INDEX(LINEST(데이터!$F$2:$F$31,데이터!$C$2:$E$31,TRUE(),TRUE()),3,1)</f>
        <v>0.93320039414514</v>
      </c>
      <c r="C20" s="26" t="s">
        <v>95</v>
      </c>
    </row>
    <row r="21" customFormat="false" ht="15" hidden="false" customHeight="false" outlineLevel="0" collapsed="false">
      <c r="A21" s="19" t="s">
        <v>96</v>
      </c>
      <c r="B21" s="20" t="n">
        <f aca="false">RSQ(데이터!$F$2:$F$31,데이터!$D$2:$D$31)</f>
        <v>0.0330537909013384</v>
      </c>
      <c r="C21" s="26" t="s">
        <v>97</v>
      </c>
    </row>
    <row r="22" customFormat="false" ht="15" hidden="false" customHeight="false" outlineLevel="0" collapsed="false">
      <c r="A22" s="19" t="s">
        <v>98</v>
      </c>
      <c r="B22" s="22" t="n">
        <f aca="false">AVERAGEIF(데이터!$C$2:$C$31,0,데이터!$F$2:$F$31)</f>
        <v>239.181818181818</v>
      </c>
      <c r="C22" s="21" t="s">
        <v>99</v>
      </c>
    </row>
    <row r="23" customFormat="false" ht="15" hidden="false" customHeight="false" outlineLevel="0" collapsed="false">
      <c r="A23" s="19" t="s">
        <v>100</v>
      </c>
      <c r="B23" s="22" t="n">
        <f aca="false">AVERAGEIF(데이터!$C$2:$C$31,1,데이터!$F$2:$F$31)</f>
        <v>300.875</v>
      </c>
      <c r="C23" s="21" t="s">
        <v>101</v>
      </c>
    </row>
    <row r="25" customFormat="false" ht="15" hidden="false" customHeight="false" outlineLevel="0" collapsed="false">
      <c r="A25" s="28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15" hidden="false" customHeight="false" outlineLevel="0" collapsed="false">
      <c r="A1" s="17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9.4" hidden="false" customHeight="false" outlineLevel="0" collapsed="false">
      <c r="A1" s="29" t="s">
        <v>104</v>
      </c>
    </row>
    <row r="2" customFormat="false" ht="15" hidden="false" customHeight="false" outlineLevel="0" collapsed="false">
      <c r="A2" s="30" t="s">
        <v>105</v>
      </c>
    </row>
    <row r="3" customFormat="false" ht="15" hidden="false" customHeight="false" outlineLevel="0" collapsed="false">
      <c r="A3" s="31" t="str">
        <f aca="false">"① 아이스음료 판매는 최고기온과 강한 양의 상관(r="&amp;TEXT(회귀분석!B3,"0.00")&amp;")이 있고, 1℃ 오를 때 약 "&amp;TEXT(회귀분석!B4,"0")&amp;"잔 늘어나는 경향"</f>
        <v>① 아이스음료 판매는 최고기온과 강한 양의 상관(r=0.88)이 있고, 1℃ 오를 때 약 15잔 늘어나는 경향</v>
      </c>
    </row>
    <row r="4" customFormat="false" ht="15" hidden="false" customHeight="false" outlineLevel="0" collapsed="false">
      <c r="A4" s="31" t="str">
        <f aca="false">"② 방문객 수는 주말(+"&amp;TEXT(회귀분석!B16,"0")&amp;"명)과 강수량(1mm당 "&amp;TEXT(회귀분석!B18,"0.0")&amp;"명)의 영향이 크고 기온 영향은 작음"</f>
        <v>② 방문객 수는 주말(+87명)과 강수량(1mm당 -2.8명)의 영향이 크고 기온 영향은 작음</v>
      </c>
    </row>
    <row r="5" customFormat="false" ht="15" hidden="false" customHeight="false" outlineLevel="0" collapsed="false">
      <c r="A5" s="31" t="str">
        <f aca="false">"③ 방문객 수와 매출은 거의 같이 움직임(r="&amp;TEXT(상관분석!G6,"0.00")&amp;")"</f>
        <v>③ 방문객 수와 매출은 거의 같이 움직임(r=0.98)</v>
      </c>
    </row>
    <row r="6" customFormat="false" ht="15" hidden="false" customHeight="false" outlineLevel="0" collapsed="false">
      <c r="A6" s="30" t="s">
        <v>106</v>
      </c>
    </row>
    <row r="7" customFormat="false" ht="15" hidden="false" customHeight="false" outlineLevel="0" collapsed="false">
      <c r="A7" s="31" t="str">
        <f aca="false">"회귀식: 아이스음료 = "&amp;TEXT(회귀분석!B4,"0.00")&amp;" × 최고기온 − "&amp;TEXT(-회귀분석!B5,"0.0")&amp;" · R² "&amp;TEXT(회귀분석!B6,"0.00")&amp;" · "&amp;회귀분석!B11&amp;"℃ 예측 "&amp;TEXT(회귀분석!B8,"0")&amp;"잔"</f>
        <v>회귀식: 아이스음료 = 15.04 × 최고기온 − 209.6 · R² 0.78 · 28℃ 예측 211잔</v>
      </c>
    </row>
    <row r="8" customFormat="false" ht="15" hidden="false" customHeight="false" outlineLevel="0" collapsed="false">
      <c r="A8" s="31" t="str">
        <f aca="false">"방문객 다중회귀 R² "&amp;TEXT(회귀분석!B20,"0.00")&amp;" (기온만 넣으면 "&amp;TEXT(회귀분석!B21,"0.00")&amp;")"</f>
        <v>방문객 다중회귀 R² 0.93 (기온만 넣으면 0.03)</v>
      </c>
    </row>
    <row r="9" customFormat="false" ht="15" hidden="false" customHeight="false" outlineLevel="0" collapsed="false">
      <c r="A9" s="30" t="s">
        <v>107</v>
      </c>
    </row>
    <row r="10" customFormat="false" ht="15" hidden="false" customHeight="false" outlineLevel="0" collapsed="false">
      <c r="A10" s="31" t="str">
        <f aca="false">"① 다음 날 최고기온 예보로 아이스음료 재료 준비량 조정 ("&amp;회귀분석!B11&amp;"℃ ≈ "&amp;TEXT(회귀분석!B8,"0")&amp;"잔)"</f>
        <v>① 다음 날 최고기온 예보로 아이스음료 재료 준비량 조정 (28℃ ≈ 211잔)</v>
      </c>
    </row>
    <row r="11" customFormat="false" ht="15" hidden="false" customHeight="false" outlineLevel="0" collapsed="false">
      <c r="A11" s="31" t="str">
        <f aca="false">"② 주말은 평일보다 방문객이 평균 "&amp;TEXT(회귀분석!B23-회귀분석!B22,"0")&amp;"명 많아("&amp;TEXT(회귀분석!B22,"0")&amp;"→"&amp;TEXT(회귀분석!B23,"0")&amp;"명) 인력 보강 검토"</f>
        <v>② 주말은 평일보다 방문객이 평균 62명 많아(239→301명) 인력 보강 검토</v>
      </c>
    </row>
    <row r="12" customFormat="false" ht="15" hidden="false" customHeight="false" outlineLevel="0" collapsed="false">
      <c r="A12" s="31" t="s">
        <v>108</v>
      </c>
    </row>
    <row r="13" customFormat="false" ht="15" hidden="false" customHeight="false" outlineLevel="0" collapsed="false">
      <c r="A13" s="30" t="s">
        <v>109</v>
      </c>
    </row>
    <row r="14" customFormat="false" ht="15" hidden="false" customHeight="false" outlineLevel="0" collapsed="false">
      <c r="A14" s="31" t="str">
        <f aca="false">"9월 30일 자료(최고기온 "&amp;TEXT(회귀분석!B9,"0.0")&amp;"~"&amp;TEXT(회귀분석!B10,"0.0")&amp;"℃)로 분석해 다른 계절·지점에 그대로 적용할 수 없으며, 상관관계는 원인을 뜻하지 않음"</f>
        <v>9월 30일 자료(최고기온 23.5~31.5℃)로 분석해 다른 계절·지점에 그대로 적용할 수 없으며, 상관관계는 원인을 뜻하지 않음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2026-10-19T04:57:16Z</dcterms:created>
  <dc:creator>openpyxl</dc:creator>
  <dc:description/>
  <dc:language>en-US</dc:language>
  <cp:lastModifiedBy/>
  <dcterms:modified xsi:type="dcterms:W3CDTF">2026-10-19T04:57:18Z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